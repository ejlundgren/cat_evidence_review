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ejlundgren/Dropbox/Projects/iucn_evidence/cat_evidence_review/builds/"/>
    </mc:Choice>
  </mc:AlternateContent>
  <xr:revisionPtr revIDLastSave="0" documentId="13_ncr:1_{C209679A-6D1A-6C47-9409-73BB53A0E66B}" xr6:coauthVersionLast="47" xr6:coauthVersionMax="47" xr10:uidLastSave="{00000000-0000-0000-0000-000000000000}"/>
  <bookViews>
    <workbookView xWindow="0" yWindow="760" windowWidth="30240" windowHeight="17920" activeTab="1" xr2:uid="{8797134B-E1C8-964D-BC69-1A0334CFECDC}"/>
  </bookViews>
  <sheets>
    <sheet name="Network" sheetId="1" r:id="rId1"/>
    <sheet name="Systematic re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7" i="2" l="1"/>
  <c r="C128" i="2"/>
  <c r="C129" i="2"/>
  <c r="C130" i="2"/>
  <c r="C131" i="2"/>
  <c r="C126" i="2"/>
  <c r="C100" i="2"/>
  <c r="C101" i="2"/>
  <c r="C102" i="2"/>
  <c r="C103" i="2"/>
  <c r="C104" i="2"/>
  <c r="C99" i="2"/>
  <c r="C73" i="2"/>
  <c r="C74" i="2"/>
  <c r="C75" i="2"/>
  <c r="C76" i="2"/>
  <c r="C77" i="2"/>
  <c r="C72" i="2"/>
  <c r="C46" i="2"/>
  <c r="C47" i="2"/>
  <c r="C48" i="2"/>
  <c r="C49" i="2"/>
  <c r="C50" i="2"/>
  <c r="C45" i="2"/>
  <c r="C19" i="2"/>
  <c r="C20" i="2"/>
  <c r="C21" i="2"/>
  <c r="C22" i="2"/>
  <c r="C23" i="2"/>
  <c r="C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Arian Wallach</author>
  </authors>
  <commentList>
    <comment ref="A5" authorId="0" shapeId="0" xr:uid="{A2115E61-3E9B-C64F-B0C1-B9A84DC143E2}">
      <text>
        <r>
          <rPr>
            <b/>
            <sz val="10"/>
            <color rgb="FF000000"/>
            <rFont val="Tahoma"/>
            <family val="2"/>
          </rPr>
          <t>Arian Wallach: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number of attributed species. Not only species with evidence</t>
        </r>
      </text>
    </comment>
    <comment ref="A17" authorId="0" shapeId="0" xr:uid="{C58B6E33-21E3-ED4E-BDB0-202CCE63A48D}">
      <text>
        <r>
          <rPr>
            <b/>
            <sz val="10"/>
            <color rgb="FF000000"/>
            <rFont val="Tahoma"/>
            <family val="2"/>
          </rPr>
          <t>Arian Wallach: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Here we're highlighting the best evidence available for each species.</t>
        </r>
      </text>
    </comment>
    <comment ref="A32" authorId="0" shapeId="0" xr:uid="{2C273486-A1A5-9345-8E9D-0EC66BC3674E}">
      <text>
        <r>
          <rPr>
            <b/>
            <sz val="10"/>
            <color rgb="FF000000"/>
            <rFont val="Tahoma"/>
            <family val="2"/>
          </rPr>
          <t>Arian Wallach: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number of attributed species. Not only species with evidence</t>
        </r>
      </text>
    </comment>
    <comment ref="A44" authorId="0" shapeId="0" xr:uid="{F9BBDEFC-CB61-4F45-AB57-24B8FB505B27}">
      <text>
        <r>
          <rPr>
            <b/>
            <sz val="10"/>
            <color rgb="FF000000"/>
            <rFont val="Tahoma"/>
            <family val="2"/>
          </rPr>
          <t>Arian Wallach: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Here we're highlighting the best evidence available for each species.</t>
        </r>
      </text>
    </comment>
    <comment ref="A59" authorId="0" shapeId="0" xr:uid="{23DD0FFF-641F-7248-82E9-4ECE4016646F}">
      <text>
        <r>
          <rPr>
            <b/>
            <sz val="10"/>
            <color rgb="FF000000"/>
            <rFont val="Tahoma"/>
            <family val="2"/>
          </rPr>
          <t>Arian Wallach: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number of attributed species. Not only species with evidence</t>
        </r>
      </text>
    </comment>
    <comment ref="A71" authorId="0" shapeId="0" xr:uid="{FE63D2BF-E287-AC4A-A51C-A34AE664441D}">
      <text>
        <r>
          <rPr>
            <b/>
            <sz val="10"/>
            <color rgb="FF000000"/>
            <rFont val="Tahoma"/>
            <family val="2"/>
          </rPr>
          <t>Arian Wallach: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Here we're highlighting the best evidence available for each species.</t>
        </r>
      </text>
    </comment>
    <comment ref="A86" authorId="0" shapeId="0" xr:uid="{D4494D0D-A509-5443-BFF0-F3400C985D47}">
      <text>
        <r>
          <rPr>
            <b/>
            <sz val="10"/>
            <color rgb="FF000000"/>
            <rFont val="Tahoma"/>
            <family val="2"/>
          </rPr>
          <t>Arian Wallach: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number of attributed species. Not only species with evidence</t>
        </r>
      </text>
    </comment>
    <comment ref="A98" authorId="0" shapeId="0" xr:uid="{3EB50FD4-A6B0-F64F-967E-102C58920F7F}">
      <text>
        <r>
          <rPr>
            <b/>
            <sz val="10"/>
            <color rgb="FF000000"/>
            <rFont val="Tahoma"/>
            <family val="2"/>
          </rPr>
          <t>Arian Wallach: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Here we're highlighting the best evidence available for each species.</t>
        </r>
      </text>
    </comment>
    <comment ref="A113" authorId="0" shapeId="0" xr:uid="{F3F4DF46-B514-264C-8400-0E7FFE7FE808}">
      <text>
        <r>
          <rPr>
            <b/>
            <sz val="10"/>
            <color rgb="FF000000"/>
            <rFont val="Tahoma"/>
            <family val="2"/>
          </rPr>
          <t>Arian Wallach: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number of attributed species. Not only species with evidence</t>
        </r>
      </text>
    </comment>
    <comment ref="A125" authorId="0" shapeId="0" xr:uid="{E48D4786-1BA6-8449-9363-EDE16316DE91}">
      <text>
        <r>
          <rPr>
            <b/>
            <sz val="10"/>
            <color rgb="FF000000"/>
            <rFont val="Tahoma"/>
            <family val="2"/>
          </rPr>
          <t>Arian Wallach: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Here we're highlighting the best evidence available for each species.</t>
        </r>
      </text>
    </comment>
  </commentList>
</comments>
</file>

<file path=xl/sharedStrings.xml><?xml version="1.0" encoding="utf-8"?>
<sst xmlns="http://schemas.openxmlformats.org/spreadsheetml/2006/main" count="852" uniqueCount="70">
  <si>
    <t>Number</t>
  </si>
  <si>
    <t>Proportion</t>
  </si>
  <si>
    <t>Predation</t>
  </si>
  <si>
    <t>STUDIES NOT IN SUPPORT</t>
  </si>
  <si>
    <t>OVERVIEW</t>
  </si>
  <si>
    <t>Mean per species</t>
  </si>
  <si>
    <t>Opinion claim</t>
  </si>
  <si>
    <t>No claim</t>
  </si>
  <si>
    <t>Other</t>
  </si>
  <si>
    <t>Inaccessible</t>
  </si>
  <si>
    <t>BEST EVIDENCE IN SUPPORT PER SPECIES</t>
  </si>
  <si>
    <t>All studies not in support</t>
  </si>
  <si>
    <t>[number of X]</t>
  </si>
  <si>
    <t>[% of X]</t>
  </si>
  <si>
    <t>Predation in support</t>
  </si>
  <si>
    <t>BIRDS</t>
  </si>
  <si>
    <t>REPTILES</t>
  </si>
  <si>
    <t>AMPHIBIANS</t>
  </si>
  <si>
    <t>VERTEBRATES</t>
  </si>
  <si>
    <t>MAMMALS</t>
  </si>
  <si>
    <t>STUDIES</t>
  </si>
  <si>
    <t>Not reporting primary data (all types combined)</t>
  </si>
  <si>
    <t>Systematic review</t>
  </si>
  <si>
    <t>[% of citation chains that end with nodes that do not report primary data]</t>
  </si>
  <si>
    <t>[number of citation chains that end with nodes that do not report primary data]</t>
  </si>
  <si>
    <t>Entire citation network</t>
  </si>
  <si>
    <t>Claimant citation network</t>
  </si>
  <si>
    <t>Non-claimant citation network</t>
  </si>
  <si>
    <t>Population without data in support</t>
  </si>
  <si>
    <t>Population with data in support</t>
  </si>
  <si>
    <t>Population with qualities in support</t>
  </si>
  <si>
    <t>Predation not in support</t>
  </si>
  <si>
    <t>Reporting primary data (all types combined)</t>
  </si>
  <si>
    <t>Nothing cited</t>
  </si>
  <si>
    <t>Nodes (chain terminus)</t>
  </si>
  <si>
    <t>Population without data not in support</t>
  </si>
  <si>
    <t>Population with data not in support</t>
  </si>
  <si>
    <t>Population with qualities not in support</t>
  </si>
  <si>
    <t>Network</t>
  </si>
  <si>
    <t>Number of articles</t>
  </si>
  <si>
    <t>Number of studies</t>
  </si>
  <si>
    <t>Number of species</t>
  </si>
  <si>
    <t>Nothing</t>
  </si>
  <si>
    <t>Population without data</t>
  </si>
  <si>
    <t>Population with data</t>
  </si>
  <si>
    <t>Population with qualities</t>
  </si>
  <si>
    <t>Web of Science only</t>
  </si>
  <si>
    <t>[% of ALL citation chains that end with nodes that do not report primary data]</t>
  </si>
  <si>
    <t>[% of ALL CLAIMANT citation chains that end with nodes that do not report primary data]</t>
  </si>
  <si>
    <t>[% of ALL WoS citation chains that end with nodes that do not report primary data]</t>
  </si>
  <si>
    <t>[% of ALL NON-CLAIMANT citation chains that end with nodes that do not report primary data]</t>
  </si>
  <si>
    <t>COMMENT</t>
  </si>
  <si>
    <t>These are studies without qualities (so if you want to total number of population studies, add these with of quality)</t>
  </si>
  <si>
    <t>44.7% ±46.58</t>
  </si>
  <si>
    <t>59.6% ±49.16</t>
  </si>
  <si>
    <t>25.0% ±42.49</t>
  </si>
  <si>
    <t>2.3% ±15.25</t>
  </si>
  <si>
    <t>50% ±70.71</t>
  </si>
  <si>
    <t>0% ±NA</t>
  </si>
  <si>
    <t>NA</t>
  </si>
  <si>
    <t>12.48% ±29.33</t>
  </si>
  <si>
    <t>29.41% ±43.51</t>
  </si>
  <si>
    <t>44.7% ±47.50</t>
  </si>
  <si>
    <t>20.37% ±36.13</t>
  </si>
  <si>
    <t>31.25% ±45.8</t>
  </si>
  <si>
    <t>9.6% ±23.92</t>
  </si>
  <si>
    <t>21.4% ±39.3</t>
  </si>
  <si>
    <t>37.79% ±45.58</t>
  </si>
  <si>
    <t>66.7% ±42.49</t>
  </si>
  <si>
    <t>&lt;- I think this is the one that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</si>
</sst>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24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8" borderId="1" xfId="0" applyFill="1" applyBorder="1" applyAlignment="1">
      <alignment wrapText="1"/>
    </xf>
    <xf numFmtId="0" fontId="1" fillId="0" borderId="1" xfId="0" applyFont="1" applyBorder="1" applyAlignment="1">
      <alignment horizontal="left"/>
    </xf>
    <xf numFmtId="0" fontId="3" fillId="9" borderId="4" xfId="0" applyFont="1" applyFill="1" applyBorder="1" applyAlignment="1">
      <alignment wrapText="1"/>
    </xf>
    <xf numFmtId="0" fontId="0" fillId="9" borderId="1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0" xfId="0" applyFont="1"/>
    <xf numFmtId="0" fontId="0" fillId="6" borderId="1" xfId="0" applyFill="1" applyBorder="1" applyAlignment="1">
      <alignment horizontal="center"/>
    </xf>
    <xf numFmtId="0" fontId="6" fillId="7" borderId="5" xfId="0" applyFont="1" applyFill="1" applyBorder="1" applyAlignment="1">
      <alignment horizontal="center" wrapText="1"/>
    </xf>
    <xf numFmtId="0" fontId="6" fillId="7" borderId="0" xfId="0" applyFont="1" applyFill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822C-817A-2642-AC3D-450B7AB79ADA}">
  <dimension ref="A1:L83"/>
  <sheetViews>
    <sheetView zoomScale="136" zoomScaleNormal="136" workbookViewId="0">
      <selection activeCell="B66" sqref="B66"/>
    </sheetView>
  </sheetViews>
  <sheetFormatPr baseColWidth="10" defaultRowHeight="16" x14ac:dyDescent="0.2"/>
  <cols>
    <col min="1" max="1" width="45.83203125" style="2" customWidth="1"/>
    <col min="2" max="3" width="20" style="5" customWidth="1"/>
    <col min="4" max="4" width="2.83203125" customWidth="1"/>
    <col min="5" max="6" width="20" style="5" customWidth="1"/>
    <col min="7" max="7" width="2.6640625" customWidth="1"/>
    <col min="8" max="9" width="20" style="5" customWidth="1"/>
    <col min="10" max="10" width="2.6640625" customWidth="1"/>
    <col min="11" max="12" width="20" style="5" customWidth="1"/>
  </cols>
  <sheetData>
    <row r="1" spans="1:12" ht="33" customHeight="1" x14ac:dyDescent="0.4">
      <c r="A1" s="22" t="s">
        <v>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52" customHeight="1" x14ac:dyDescent="0.3">
      <c r="A2" s="14"/>
      <c r="B2" s="24" t="s">
        <v>25</v>
      </c>
      <c r="C2" s="25"/>
      <c r="E2" s="24" t="s">
        <v>26</v>
      </c>
      <c r="F2" s="25"/>
      <c r="H2" s="24" t="s">
        <v>46</v>
      </c>
      <c r="I2" s="25"/>
      <c r="K2" s="24" t="s">
        <v>27</v>
      </c>
      <c r="L2" s="25"/>
    </row>
    <row r="3" spans="1:12" x14ac:dyDescent="0.2">
      <c r="A3" s="16" t="s">
        <v>34</v>
      </c>
      <c r="B3" s="6" t="s">
        <v>0</v>
      </c>
      <c r="C3" s="6" t="s">
        <v>1</v>
      </c>
      <c r="E3" s="6" t="s">
        <v>0</v>
      </c>
      <c r="F3" s="6" t="s">
        <v>1</v>
      </c>
      <c r="H3" s="6" t="s">
        <v>0</v>
      </c>
      <c r="I3" s="6" t="s">
        <v>1</v>
      </c>
      <c r="K3" s="6" t="s">
        <v>0</v>
      </c>
      <c r="L3" s="6" t="s">
        <v>1</v>
      </c>
    </row>
    <row r="4" spans="1:12" ht="25" x14ac:dyDescent="0.3">
      <c r="A4" s="14" t="s">
        <v>18</v>
      </c>
      <c r="B4" s="3"/>
      <c r="C4" s="3"/>
      <c r="E4" s="3"/>
      <c r="F4" s="3"/>
      <c r="H4" s="3"/>
      <c r="I4" s="3"/>
      <c r="K4" s="3"/>
      <c r="L4" s="3"/>
    </row>
    <row r="5" spans="1:12" ht="17" x14ac:dyDescent="0.2">
      <c r="A5" s="9" t="s">
        <v>21</v>
      </c>
      <c r="B5" s="4" t="s">
        <v>24</v>
      </c>
      <c r="C5" s="4" t="s">
        <v>47</v>
      </c>
      <c r="E5" s="4" t="s">
        <v>24</v>
      </c>
      <c r="F5" s="4" t="s">
        <v>48</v>
      </c>
      <c r="H5" s="4" t="s">
        <v>24</v>
      </c>
      <c r="I5" s="4" t="s">
        <v>49</v>
      </c>
      <c r="K5" s="4" t="s">
        <v>24</v>
      </c>
      <c r="L5" s="4" t="s">
        <v>50</v>
      </c>
    </row>
    <row r="6" spans="1:12" ht="17" x14ac:dyDescent="0.2">
      <c r="A6" s="9" t="s">
        <v>33</v>
      </c>
      <c r="B6" s="4" t="s">
        <v>12</v>
      </c>
      <c r="C6" s="4" t="s">
        <v>13</v>
      </c>
      <c r="E6" s="4" t="s">
        <v>12</v>
      </c>
      <c r="F6" s="4" t="s">
        <v>13</v>
      </c>
      <c r="H6" s="4" t="s">
        <v>12</v>
      </c>
      <c r="I6" s="4" t="s">
        <v>13</v>
      </c>
      <c r="K6" s="4" t="s">
        <v>12</v>
      </c>
      <c r="L6" s="4" t="s">
        <v>13</v>
      </c>
    </row>
    <row r="7" spans="1:12" ht="17" x14ac:dyDescent="0.2">
      <c r="A7" s="9" t="s">
        <v>6</v>
      </c>
      <c r="B7" s="4" t="s">
        <v>12</v>
      </c>
      <c r="C7" s="4" t="s">
        <v>13</v>
      </c>
      <c r="E7" s="4" t="s">
        <v>12</v>
      </c>
      <c r="F7" s="4" t="s">
        <v>13</v>
      </c>
      <c r="H7" s="4" t="s">
        <v>12</v>
      </c>
      <c r="I7" s="4" t="s">
        <v>13</v>
      </c>
      <c r="K7" s="4" t="s">
        <v>12</v>
      </c>
      <c r="L7" s="4" t="s">
        <v>13</v>
      </c>
    </row>
    <row r="8" spans="1:12" ht="17" x14ac:dyDescent="0.2">
      <c r="A8" s="9" t="s">
        <v>7</v>
      </c>
      <c r="B8" s="4" t="s">
        <v>12</v>
      </c>
      <c r="C8" s="4" t="s">
        <v>13</v>
      </c>
      <c r="E8" s="4" t="s">
        <v>12</v>
      </c>
      <c r="F8" s="4" t="s">
        <v>13</v>
      </c>
      <c r="H8" s="4" t="s">
        <v>12</v>
      </c>
      <c r="I8" s="4" t="s">
        <v>13</v>
      </c>
      <c r="K8" s="4" t="s">
        <v>12</v>
      </c>
      <c r="L8" s="4" t="s">
        <v>13</v>
      </c>
    </row>
    <row r="9" spans="1:12" ht="17" x14ac:dyDescent="0.2">
      <c r="A9" s="9" t="s">
        <v>9</v>
      </c>
      <c r="B9" s="4" t="s">
        <v>12</v>
      </c>
      <c r="C9" s="4" t="s">
        <v>13</v>
      </c>
      <c r="E9" s="4" t="s">
        <v>12</v>
      </c>
      <c r="F9" s="4" t="s">
        <v>13</v>
      </c>
      <c r="H9" s="4" t="s">
        <v>12</v>
      </c>
      <c r="I9" s="4" t="s">
        <v>13</v>
      </c>
      <c r="K9" s="4" t="s">
        <v>12</v>
      </c>
      <c r="L9" s="4" t="s">
        <v>13</v>
      </c>
    </row>
    <row r="10" spans="1:12" ht="17" x14ac:dyDescent="0.2">
      <c r="A10" s="9" t="s">
        <v>8</v>
      </c>
      <c r="B10" s="4" t="s">
        <v>12</v>
      </c>
      <c r="C10" s="4" t="s">
        <v>13</v>
      </c>
      <c r="E10" s="4" t="s">
        <v>12</v>
      </c>
      <c r="F10" s="4" t="s">
        <v>13</v>
      </c>
      <c r="H10" s="4" t="s">
        <v>12</v>
      </c>
      <c r="I10" s="4" t="s">
        <v>13</v>
      </c>
      <c r="K10" s="4" t="s">
        <v>12</v>
      </c>
      <c r="L10" s="4" t="s">
        <v>13</v>
      </c>
    </row>
    <row r="11" spans="1:12" ht="17" x14ac:dyDescent="0.2">
      <c r="A11" s="15" t="s">
        <v>32</v>
      </c>
      <c r="B11" s="4" t="s">
        <v>12</v>
      </c>
      <c r="C11" s="4" t="s">
        <v>13</v>
      </c>
      <c r="E11" s="4" t="s">
        <v>12</v>
      </c>
      <c r="F11" s="4" t="s">
        <v>13</v>
      </c>
      <c r="H11" s="4" t="s">
        <v>12</v>
      </c>
      <c r="I11" s="4" t="s">
        <v>13</v>
      </c>
      <c r="K11" s="4" t="s">
        <v>12</v>
      </c>
      <c r="L11" s="4" t="s">
        <v>13</v>
      </c>
    </row>
    <row r="12" spans="1:12" ht="17" x14ac:dyDescent="0.2">
      <c r="A12" s="7" t="s">
        <v>14</v>
      </c>
      <c r="B12" s="4" t="s">
        <v>12</v>
      </c>
      <c r="C12" s="4" t="s">
        <v>13</v>
      </c>
      <c r="E12" s="4" t="s">
        <v>12</v>
      </c>
      <c r="F12" s="4" t="s">
        <v>13</v>
      </c>
      <c r="H12" s="4" t="s">
        <v>12</v>
      </c>
      <c r="I12" s="4" t="s">
        <v>13</v>
      </c>
      <c r="K12" s="4" t="s">
        <v>12</v>
      </c>
      <c r="L12" s="4" t="s">
        <v>13</v>
      </c>
    </row>
    <row r="13" spans="1:12" ht="17" x14ac:dyDescent="0.2">
      <c r="A13" s="7" t="s">
        <v>31</v>
      </c>
      <c r="B13" s="4" t="s">
        <v>12</v>
      </c>
      <c r="C13" s="4" t="s">
        <v>13</v>
      </c>
      <c r="E13" s="4" t="s">
        <v>12</v>
      </c>
      <c r="F13" s="4" t="s">
        <v>13</v>
      </c>
      <c r="H13" s="4" t="s">
        <v>12</v>
      </c>
      <c r="I13" s="4" t="s">
        <v>13</v>
      </c>
      <c r="K13" s="4" t="s">
        <v>12</v>
      </c>
      <c r="L13" s="4" t="s">
        <v>13</v>
      </c>
    </row>
    <row r="14" spans="1:12" ht="17" x14ac:dyDescent="0.2">
      <c r="A14" s="10" t="s">
        <v>28</v>
      </c>
      <c r="B14" s="4" t="s">
        <v>12</v>
      </c>
      <c r="C14" s="4" t="s">
        <v>13</v>
      </c>
      <c r="E14" s="4" t="s">
        <v>12</v>
      </c>
      <c r="F14" s="4" t="s">
        <v>13</v>
      </c>
      <c r="H14" s="4" t="s">
        <v>12</v>
      </c>
      <c r="I14" s="4" t="s">
        <v>13</v>
      </c>
      <c r="K14" s="4" t="s">
        <v>12</v>
      </c>
      <c r="L14" s="4" t="s">
        <v>13</v>
      </c>
    </row>
    <row r="15" spans="1:12" ht="17" x14ac:dyDescent="0.2">
      <c r="A15" s="10" t="s">
        <v>35</v>
      </c>
      <c r="B15" s="4" t="s">
        <v>12</v>
      </c>
      <c r="C15" s="4" t="s">
        <v>13</v>
      </c>
      <c r="E15" s="4" t="s">
        <v>12</v>
      </c>
      <c r="F15" s="4" t="s">
        <v>13</v>
      </c>
      <c r="H15" s="4" t="s">
        <v>12</v>
      </c>
      <c r="I15" s="4" t="s">
        <v>13</v>
      </c>
      <c r="K15" s="4" t="s">
        <v>12</v>
      </c>
      <c r="L15" s="4" t="s">
        <v>13</v>
      </c>
    </row>
    <row r="16" spans="1:12" ht="17" x14ac:dyDescent="0.2">
      <c r="A16" s="11" t="s">
        <v>29</v>
      </c>
      <c r="B16" s="4" t="s">
        <v>12</v>
      </c>
      <c r="C16" s="4" t="s">
        <v>13</v>
      </c>
      <c r="E16" s="4" t="s">
        <v>12</v>
      </c>
      <c r="F16" s="4" t="s">
        <v>13</v>
      </c>
      <c r="H16" s="4" t="s">
        <v>12</v>
      </c>
      <c r="I16" s="4" t="s">
        <v>13</v>
      </c>
      <c r="K16" s="4" t="s">
        <v>12</v>
      </c>
      <c r="L16" s="4" t="s">
        <v>13</v>
      </c>
    </row>
    <row r="17" spans="1:12" ht="17" x14ac:dyDescent="0.2">
      <c r="A17" s="11" t="s">
        <v>36</v>
      </c>
      <c r="B17" s="4" t="s">
        <v>12</v>
      </c>
      <c r="C17" s="4" t="s">
        <v>13</v>
      </c>
      <c r="E17" s="4" t="s">
        <v>12</v>
      </c>
      <c r="F17" s="4" t="s">
        <v>13</v>
      </c>
      <c r="H17" s="4" t="s">
        <v>12</v>
      </c>
      <c r="I17" s="4" t="s">
        <v>13</v>
      </c>
      <c r="K17" s="4" t="s">
        <v>12</v>
      </c>
      <c r="L17" s="4" t="s">
        <v>13</v>
      </c>
    </row>
    <row r="18" spans="1:12" ht="17" x14ac:dyDescent="0.2">
      <c r="A18" s="12" t="s">
        <v>30</v>
      </c>
      <c r="B18" s="4" t="s">
        <v>12</v>
      </c>
      <c r="C18" s="4" t="s">
        <v>13</v>
      </c>
      <c r="E18" s="4" t="s">
        <v>12</v>
      </c>
      <c r="F18" s="4" t="s">
        <v>13</v>
      </c>
      <c r="H18" s="4" t="s">
        <v>12</v>
      </c>
      <c r="I18" s="4" t="s">
        <v>13</v>
      </c>
      <c r="K18" s="4" t="s">
        <v>12</v>
      </c>
      <c r="L18" s="4" t="s">
        <v>13</v>
      </c>
    </row>
    <row r="19" spans="1:12" ht="17" x14ac:dyDescent="0.2">
      <c r="A19" s="12" t="s">
        <v>37</v>
      </c>
      <c r="B19" s="4" t="s">
        <v>12</v>
      </c>
      <c r="C19" s="4" t="s">
        <v>13</v>
      </c>
      <c r="E19" s="4" t="s">
        <v>12</v>
      </c>
      <c r="F19" s="4" t="s">
        <v>13</v>
      </c>
      <c r="H19" s="4" t="s">
        <v>12</v>
      </c>
      <c r="I19" s="4" t="s">
        <v>13</v>
      </c>
      <c r="K19" s="4" t="s">
        <v>12</v>
      </c>
      <c r="L19" s="4" t="s">
        <v>13</v>
      </c>
    </row>
    <row r="20" spans="1:12" ht="25" x14ac:dyDescent="0.3">
      <c r="A20" s="13" t="s">
        <v>19</v>
      </c>
      <c r="B20" s="3"/>
      <c r="C20" s="3"/>
      <c r="E20" s="3"/>
      <c r="F20" s="3"/>
      <c r="H20" s="3"/>
      <c r="I20" s="3"/>
      <c r="K20" s="3"/>
      <c r="L20" s="3"/>
    </row>
    <row r="21" spans="1:12" ht="17" x14ac:dyDescent="0.2">
      <c r="A21" s="9" t="s">
        <v>21</v>
      </c>
      <c r="B21" s="4" t="s">
        <v>24</v>
      </c>
      <c r="C21" s="4" t="s">
        <v>23</v>
      </c>
      <c r="E21" s="4" t="s">
        <v>24</v>
      </c>
      <c r="F21" s="4" t="s">
        <v>23</v>
      </c>
      <c r="H21" s="4" t="s">
        <v>24</v>
      </c>
      <c r="I21" s="4" t="s">
        <v>23</v>
      </c>
      <c r="K21" s="4" t="s">
        <v>24</v>
      </c>
      <c r="L21" s="4" t="s">
        <v>23</v>
      </c>
    </row>
    <row r="22" spans="1:12" ht="17" x14ac:dyDescent="0.2">
      <c r="A22" s="9" t="s">
        <v>33</v>
      </c>
      <c r="B22" s="4" t="s">
        <v>12</v>
      </c>
      <c r="C22" s="4" t="s">
        <v>13</v>
      </c>
      <c r="E22" s="4" t="s">
        <v>12</v>
      </c>
      <c r="F22" s="4" t="s">
        <v>13</v>
      </c>
      <c r="H22" s="4" t="s">
        <v>12</v>
      </c>
      <c r="I22" s="4" t="s">
        <v>13</v>
      </c>
      <c r="K22" s="4" t="s">
        <v>12</v>
      </c>
      <c r="L22" s="4" t="s">
        <v>13</v>
      </c>
    </row>
    <row r="23" spans="1:12" ht="17" x14ac:dyDescent="0.2">
      <c r="A23" s="9" t="s">
        <v>6</v>
      </c>
      <c r="B23" s="4" t="s">
        <v>12</v>
      </c>
      <c r="C23" s="4" t="s">
        <v>13</v>
      </c>
      <c r="E23" s="4" t="s">
        <v>12</v>
      </c>
      <c r="F23" s="4" t="s">
        <v>13</v>
      </c>
      <c r="H23" s="4" t="s">
        <v>12</v>
      </c>
      <c r="I23" s="4" t="s">
        <v>13</v>
      </c>
      <c r="K23" s="4" t="s">
        <v>12</v>
      </c>
      <c r="L23" s="4" t="s">
        <v>13</v>
      </c>
    </row>
    <row r="24" spans="1:12" ht="17" x14ac:dyDescent="0.2">
      <c r="A24" s="9" t="s">
        <v>7</v>
      </c>
      <c r="B24" s="4" t="s">
        <v>12</v>
      </c>
      <c r="C24" s="4" t="s">
        <v>13</v>
      </c>
      <c r="E24" s="4" t="s">
        <v>12</v>
      </c>
      <c r="F24" s="4" t="s">
        <v>13</v>
      </c>
      <c r="H24" s="4" t="s">
        <v>12</v>
      </c>
      <c r="I24" s="4" t="s">
        <v>13</v>
      </c>
      <c r="K24" s="4" t="s">
        <v>12</v>
      </c>
      <c r="L24" s="4" t="s">
        <v>13</v>
      </c>
    </row>
    <row r="25" spans="1:12" ht="17" x14ac:dyDescent="0.2">
      <c r="A25" s="9" t="s">
        <v>9</v>
      </c>
      <c r="B25" s="4" t="s">
        <v>12</v>
      </c>
      <c r="C25" s="4" t="s">
        <v>13</v>
      </c>
      <c r="E25" s="4" t="s">
        <v>12</v>
      </c>
      <c r="F25" s="4" t="s">
        <v>13</v>
      </c>
      <c r="H25" s="4" t="s">
        <v>12</v>
      </c>
      <c r="I25" s="4" t="s">
        <v>13</v>
      </c>
      <c r="K25" s="4" t="s">
        <v>12</v>
      </c>
      <c r="L25" s="4" t="s">
        <v>13</v>
      </c>
    </row>
    <row r="26" spans="1:12" ht="17" x14ac:dyDescent="0.2">
      <c r="A26" s="9" t="s">
        <v>8</v>
      </c>
      <c r="B26" s="4" t="s">
        <v>12</v>
      </c>
      <c r="C26" s="4" t="s">
        <v>13</v>
      </c>
      <c r="E26" s="4" t="s">
        <v>12</v>
      </c>
      <c r="F26" s="4" t="s">
        <v>13</v>
      </c>
      <c r="H26" s="4" t="s">
        <v>12</v>
      </c>
      <c r="I26" s="4" t="s">
        <v>13</v>
      </c>
      <c r="K26" s="4" t="s">
        <v>12</v>
      </c>
      <c r="L26" s="4" t="s">
        <v>13</v>
      </c>
    </row>
    <row r="27" spans="1:12" ht="17" x14ac:dyDescent="0.2">
      <c r="A27" s="15" t="s">
        <v>32</v>
      </c>
      <c r="B27" s="4" t="s">
        <v>12</v>
      </c>
      <c r="C27" s="4" t="s">
        <v>13</v>
      </c>
      <c r="E27" s="4" t="s">
        <v>12</v>
      </c>
      <c r="F27" s="4" t="s">
        <v>13</v>
      </c>
      <c r="H27" s="4" t="s">
        <v>12</v>
      </c>
      <c r="I27" s="4" t="s">
        <v>13</v>
      </c>
      <c r="K27" s="4" t="s">
        <v>12</v>
      </c>
      <c r="L27" s="4" t="s">
        <v>13</v>
      </c>
    </row>
    <row r="28" spans="1:12" ht="17" x14ac:dyDescent="0.2">
      <c r="A28" s="7" t="s">
        <v>14</v>
      </c>
      <c r="B28" s="4" t="s">
        <v>12</v>
      </c>
      <c r="C28" s="4" t="s">
        <v>13</v>
      </c>
      <c r="E28" s="4" t="s">
        <v>12</v>
      </c>
      <c r="F28" s="4" t="s">
        <v>13</v>
      </c>
      <c r="H28" s="4" t="s">
        <v>12</v>
      </c>
      <c r="I28" s="4" t="s">
        <v>13</v>
      </c>
      <c r="K28" s="4" t="s">
        <v>12</v>
      </c>
      <c r="L28" s="4" t="s">
        <v>13</v>
      </c>
    </row>
    <row r="29" spans="1:12" ht="17" x14ac:dyDescent="0.2">
      <c r="A29" s="7" t="s">
        <v>31</v>
      </c>
      <c r="B29" s="4" t="s">
        <v>12</v>
      </c>
      <c r="C29" s="4" t="s">
        <v>13</v>
      </c>
      <c r="E29" s="4" t="s">
        <v>12</v>
      </c>
      <c r="F29" s="4" t="s">
        <v>13</v>
      </c>
      <c r="H29" s="4" t="s">
        <v>12</v>
      </c>
      <c r="I29" s="4" t="s">
        <v>13</v>
      </c>
      <c r="K29" s="4" t="s">
        <v>12</v>
      </c>
      <c r="L29" s="4" t="s">
        <v>13</v>
      </c>
    </row>
    <row r="30" spans="1:12" ht="17" x14ac:dyDescent="0.2">
      <c r="A30" s="10" t="s">
        <v>28</v>
      </c>
      <c r="B30" s="4" t="s">
        <v>12</v>
      </c>
      <c r="C30" s="4" t="s">
        <v>13</v>
      </c>
      <c r="E30" s="4" t="s">
        <v>12</v>
      </c>
      <c r="F30" s="4" t="s">
        <v>13</v>
      </c>
      <c r="H30" s="4" t="s">
        <v>12</v>
      </c>
      <c r="I30" s="4" t="s">
        <v>13</v>
      </c>
      <c r="K30" s="4" t="s">
        <v>12</v>
      </c>
      <c r="L30" s="4" t="s">
        <v>13</v>
      </c>
    </row>
    <row r="31" spans="1:12" ht="17" x14ac:dyDescent="0.2">
      <c r="A31" s="10" t="s">
        <v>35</v>
      </c>
      <c r="B31" s="4" t="s">
        <v>12</v>
      </c>
      <c r="C31" s="4" t="s">
        <v>13</v>
      </c>
      <c r="E31" s="4" t="s">
        <v>12</v>
      </c>
      <c r="F31" s="4" t="s">
        <v>13</v>
      </c>
      <c r="H31" s="4" t="s">
        <v>12</v>
      </c>
      <c r="I31" s="4" t="s">
        <v>13</v>
      </c>
      <c r="K31" s="4" t="s">
        <v>12</v>
      </c>
      <c r="L31" s="4" t="s">
        <v>13</v>
      </c>
    </row>
    <row r="32" spans="1:12" ht="17" x14ac:dyDescent="0.2">
      <c r="A32" s="11" t="s">
        <v>29</v>
      </c>
      <c r="B32" s="4" t="s">
        <v>12</v>
      </c>
      <c r="C32" s="4" t="s">
        <v>13</v>
      </c>
      <c r="E32" s="4" t="s">
        <v>12</v>
      </c>
      <c r="F32" s="4" t="s">
        <v>13</v>
      </c>
      <c r="H32" s="4" t="s">
        <v>12</v>
      </c>
      <c r="I32" s="4" t="s">
        <v>13</v>
      </c>
      <c r="K32" s="4" t="s">
        <v>12</v>
      </c>
      <c r="L32" s="4" t="s">
        <v>13</v>
      </c>
    </row>
    <row r="33" spans="1:12" ht="17" x14ac:dyDescent="0.2">
      <c r="A33" s="11" t="s">
        <v>36</v>
      </c>
      <c r="B33" s="4" t="s">
        <v>12</v>
      </c>
      <c r="C33" s="4" t="s">
        <v>13</v>
      </c>
      <c r="E33" s="4" t="s">
        <v>12</v>
      </c>
      <c r="F33" s="4" t="s">
        <v>13</v>
      </c>
      <c r="H33" s="4" t="s">
        <v>12</v>
      </c>
      <c r="I33" s="4" t="s">
        <v>13</v>
      </c>
      <c r="K33" s="4" t="s">
        <v>12</v>
      </c>
      <c r="L33" s="4" t="s">
        <v>13</v>
      </c>
    </row>
    <row r="34" spans="1:12" ht="17" x14ac:dyDescent="0.2">
      <c r="A34" s="12" t="s">
        <v>30</v>
      </c>
      <c r="B34" s="4" t="s">
        <v>12</v>
      </c>
      <c r="C34" s="4" t="s">
        <v>13</v>
      </c>
      <c r="E34" s="4" t="s">
        <v>12</v>
      </c>
      <c r="F34" s="4" t="s">
        <v>13</v>
      </c>
      <c r="H34" s="4" t="s">
        <v>12</v>
      </c>
      <c r="I34" s="4" t="s">
        <v>13</v>
      </c>
      <c r="K34" s="4" t="s">
        <v>12</v>
      </c>
      <c r="L34" s="4" t="s">
        <v>13</v>
      </c>
    </row>
    <row r="35" spans="1:12" ht="17" x14ac:dyDescent="0.2">
      <c r="A35" s="12" t="s">
        <v>37</v>
      </c>
      <c r="B35" s="4" t="s">
        <v>12</v>
      </c>
      <c r="C35" s="4" t="s">
        <v>13</v>
      </c>
      <c r="E35" s="4" t="s">
        <v>12</v>
      </c>
      <c r="F35" s="4" t="s">
        <v>13</v>
      </c>
      <c r="H35" s="4" t="s">
        <v>12</v>
      </c>
      <c r="I35" s="4" t="s">
        <v>13</v>
      </c>
      <c r="K35" s="4" t="s">
        <v>12</v>
      </c>
      <c r="L35" s="4" t="s">
        <v>13</v>
      </c>
    </row>
    <row r="36" spans="1:12" ht="25" x14ac:dyDescent="0.3">
      <c r="A36" s="13" t="s">
        <v>15</v>
      </c>
      <c r="B36" s="24"/>
      <c r="C36" s="25"/>
      <c r="E36" s="24"/>
      <c r="F36" s="25"/>
      <c r="H36" s="24"/>
      <c r="I36" s="25"/>
      <c r="K36" s="24"/>
      <c r="L36" s="25"/>
    </row>
    <row r="37" spans="1:12" ht="17" x14ac:dyDescent="0.2">
      <c r="A37" s="9" t="s">
        <v>21</v>
      </c>
      <c r="B37" s="4" t="s">
        <v>24</v>
      </c>
      <c r="C37" s="4" t="s">
        <v>47</v>
      </c>
      <c r="E37" s="4" t="s">
        <v>24</v>
      </c>
      <c r="F37" s="4" t="s">
        <v>48</v>
      </c>
      <c r="H37" s="4" t="s">
        <v>24</v>
      </c>
      <c r="I37" s="4" t="s">
        <v>49</v>
      </c>
      <c r="K37" s="4" t="s">
        <v>24</v>
      </c>
      <c r="L37" s="4" t="s">
        <v>50</v>
      </c>
    </row>
    <row r="38" spans="1:12" ht="17" x14ac:dyDescent="0.2">
      <c r="A38" s="9" t="s">
        <v>33</v>
      </c>
      <c r="B38" s="4" t="s">
        <v>12</v>
      </c>
      <c r="C38" s="4" t="s">
        <v>13</v>
      </c>
      <c r="E38" s="4" t="s">
        <v>12</v>
      </c>
      <c r="F38" s="4" t="s">
        <v>13</v>
      </c>
      <c r="H38" s="4" t="s">
        <v>12</v>
      </c>
      <c r="I38" s="4" t="s">
        <v>13</v>
      </c>
      <c r="K38" s="4" t="s">
        <v>12</v>
      </c>
      <c r="L38" s="4" t="s">
        <v>13</v>
      </c>
    </row>
    <row r="39" spans="1:12" ht="17" x14ac:dyDescent="0.2">
      <c r="A39" s="9" t="s">
        <v>6</v>
      </c>
      <c r="B39" s="4" t="s">
        <v>12</v>
      </c>
      <c r="C39" s="4" t="s">
        <v>13</v>
      </c>
      <c r="E39" s="4" t="s">
        <v>12</v>
      </c>
      <c r="F39" s="4" t="s">
        <v>13</v>
      </c>
      <c r="H39" s="4" t="s">
        <v>12</v>
      </c>
      <c r="I39" s="4" t="s">
        <v>13</v>
      </c>
      <c r="K39" s="4" t="s">
        <v>12</v>
      </c>
      <c r="L39" s="4" t="s">
        <v>13</v>
      </c>
    </row>
    <row r="40" spans="1:12" ht="17" x14ac:dyDescent="0.2">
      <c r="A40" s="9" t="s">
        <v>7</v>
      </c>
      <c r="B40" s="4" t="s">
        <v>12</v>
      </c>
      <c r="C40" s="4" t="s">
        <v>13</v>
      </c>
      <c r="E40" s="4" t="s">
        <v>12</v>
      </c>
      <c r="F40" s="4" t="s">
        <v>13</v>
      </c>
      <c r="H40" s="4" t="s">
        <v>12</v>
      </c>
      <c r="I40" s="4" t="s">
        <v>13</v>
      </c>
      <c r="K40" s="4" t="s">
        <v>12</v>
      </c>
      <c r="L40" s="4" t="s">
        <v>13</v>
      </c>
    </row>
    <row r="41" spans="1:12" ht="17" x14ac:dyDescent="0.2">
      <c r="A41" s="9" t="s">
        <v>9</v>
      </c>
      <c r="B41" s="4" t="s">
        <v>12</v>
      </c>
      <c r="C41" s="4" t="s">
        <v>13</v>
      </c>
      <c r="E41" s="4" t="s">
        <v>12</v>
      </c>
      <c r="F41" s="4" t="s">
        <v>13</v>
      </c>
      <c r="H41" s="4" t="s">
        <v>12</v>
      </c>
      <c r="I41" s="4" t="s">
        <v>13</v>
      </c>
      <c r="K41" s="4" t="s">
        <v>12</v>
      </c>
      <c r="L41" s="4" t="s">
        <v>13</v>
      </c>
    </row>
    <row r="42" spans="1:12" ht="17" x14ac:dyDescent="0.2">
      <c r="A42" s="9" t="s">
        <v>8</v>
      </c>
      <c r="B42" s="4" t="s">
        <v>12</v>
      </c>
      <c r="C42" s="4" t="s">
        <v>13</v>
      </c>
      <c r="E42" s="4" t="s">
        <v>12</v>
      </c>
      <c r="F42" s="4" t="s">
        <v>13</v>
      </c>
      <c r="H42" s="4" t="s">
        <v>12</v>
      </c>
      <c r="I42" s="4" t="s">
        <v>13</v>
      </c>
      <c r="K42" s="4" t="s">
        <v>12</v>
      </c>
      <c r="L42" s="4" t="s">
        <v>13</v>
      </c>
    </row>
    <row r="43" spans="1:12" ht="17" x14ac:dyDescent="0.2">
      <c r="A43" s="15" t="s">
        <v>32</v>
      </c>
      <c r="B43" s="4" t="s">
        <v>12</v>
      </c>
      <c r="C43" s="4" t="s">
        <v>13</v>
      </c>
      <c r="E43" s="4" t="s">
        <v>12</v>
      </c>
      <c r="F43" s="4" t="s">
        <v>13</v>
      </c>
      <c r="H43" s="4" t="s">
        <v>12</v>
      </c>
      <c r="I43" s="4" t="s">
        <v>13</v>
      </c>
      <c r="K43" s="4" t="s">
        <v>12</v>
      </c>
      <c r="L43" s="4" t="s">
        <v>13</v>
      </c>
    </row>
    <row r="44" spans="1:12" ht="17" x14ac:dyDescent="0.2">
      <c r="A44" s="7" t="s">
        <v>14</v>
      </c>
      <c r="B44" s="4" t="s">
        <v>12</v>
      </c>
      <c r="C44" s="4" t="s">
        <v>13</v>
      </c>
      <c r="E44" s="4" t="s">
        <v>12</v>
      </c>
      <c r="F44" s="4" t="s">
        <v>13</v>
      </c>
      <c r="H44" s="4" t="s">
        <v>12</v>
      </c>
      <c r="I44" s="4" t="s">
        <v>13</v>
      </c>
      <c r="K44" s="4" t="s">
        <v>12</v>
      </c>
      <c r="L44" s="4" t="s">
        <v>13</v>
      </c>
    </row>
    <row r="45" spans="1:12" ht="17" x14ac:dyDescent="0.2">
      <c r="A45" s="7" t="s">
        <v>31</v>
      </c>
      <c r="B45" s="4" t="s">
        <v>12</v>
      </c>
      <c r="C45" s="4" t="s">
        <v>13</v>
      </c>
      <c r="E45" s="4" t="s">
        <v>12</v>
      </c>
      <c r="F45" s="4" t="s">
        <v>13</v>
      </c>
      <c r="H45" s="4" t="s">
        <v>12</v>
      </c>
      <c r="I45" s="4" t="s">
        <v>13</v>
      </c>
      <c r="K45" s="4" t="s">
        <v>12</v>
      </c>
      <c r="L45" s="4" t="s">
        <v>13</v>
      </c>
    </row>
    <row r="46" spans="1:12" ht="17" x14ac:dyDescent="0.2">
      <c r="A46" s="10" t="s">
        <v>28</v>
      </c>
      <c r="B46" s="4" t="s">
        <v>12</v>
      </c>
      <c r="C46" s="4" t="s">
        <v>13</v>
      </c>
      <c r="E46" s="4" t="s">
        <v>12</v>
      </c>
      <c r="F46" s="4" t="s">
        <v>13</v>
      </c>
      <c r="H46" s="4" t="s">
        <v>12</v>
      </c>
      <c r="I46" s="4" t="s">
        <v>13</v>
      </c>
      <c r="K46" s="4" t="s">
        <v>12</v>
      </c>
      <c r="L46" s="4" t="s">
        <v>13</v>
      </c>
    </row>
    <row r="47" spans="1:12" ht="17" x14ac:dyDescent="0.2">
      <c r="A47" s="10" t="s">
        <v>35</v>
      </c>
      <c r="B47" s="4" t="s">
        <v>12</v>
      </c>
      <c r="C47" s="4" t="s">
        <v>13</v>
      </c>
      <c r="E47" s="4" t="s">
        <v>12</v>
      </c>
      <c r="F47" s="4" t="s">
        <v>13</v>
      </c>
      <c r="H47" s="4" t="s">
        <v>12</v>
      </c>
      <c r="I47" s="4" t="s">
        <v>13</v>
      </c>
      <c r="K47" s="4" t="s">
        <v>12</v>
      </c>
      <c r="L47" s="4" t="s">
        <v>13</v>
      </c>
    </row>
    <row r="48" spans="1:12" ht="17" x14ac:dyDescent="0.2">
      <c r="A48" s="11" t="s">
        <v>29</v>
      </c>
      <c r="B48" s="4" t="s">
        <v>12</v>
      </c>
      <c r="C48" s="4" t="s">
        <v>13</v>
      </c>
      <c r="E48" s="4" t="s">
        <v>12</v>
      </c>
      <c r="F48" s="4" t="s">
        <v>13</v>
      </c>
      <c r="H48" s="4" t="s">
        <v>12</v>
      </c>
      <c r="I48" s="4" t="s">
        <v>13</v>
      </c>
      <c r="K48" s="4" t="s">
        <v>12</v>
      </c>
      <c r="L48" s="4" t="s">
        <v>13</v>
      </c>
    </row>
    <row r="49" spans="1:12" ht="17" x14ac:dyDescent="0.2">
      <c r="A49" s="11" t="s">
        <v>36</v>
      </c>
      <c r="B49" s="4" t="s">
        <v>12</v>
      </c>
      <c r="C49" s="4" t="s">
        <v>13</v>
      </c>
      <c r="E49" s="4" t="s">
        <v>12</v>
      </c>
      <c r="F49" s="4" t="s">
        <v>13</v>
      </c>
      <c r="H49" s="4" t="s">
        <v>12</v>
      </c>
      <c r="I49" s="4" t="s">
        <v>13</v>
      </c>
      <c r="K49" s="4" t="s">
        <v>12</v>
      </c>
      <c r="L49" s="4" t="s">
        <v>13</v>
      </c>
    </row>
    <row r="50" spans="1:12" ht="17" x14ac:dyDescent="0.2">
      <c r="A50" s="12" t="s">
        <v>30</v>
      </c>
      <c r="B50" s="4" t="s">
        <v>12</v>
      </c>
      <c r="C50" s="4" t="s">
        <v>13</v>
      </c>
      <c r="E50" s="4" t="s">
        <v>12</v>
      </c>
      <c r="F50" s="4" t="s">
        <v>13</v>
      </c>
      <c r="H50" s="4" t="s">
        <v>12</v>
      </c>
      <c r="I50" s="4" t="s">
        <v>13</v>
      </c>
      <c r="K50" s="4" t="s">
        <v>12</v>
      </c>
      <c r="L50" s="4" t="s">
        <v>13</v>
      </c>
    </row>
    <row r="51" spans="1:12" ht="17" x14ac:dyDescent="0.2">
      <c r="A51" s="12" t="s">
        <v>37</v>
      </c>
      <c r="B51" s="4" t="s">
        <v>12</v>
      </c>
      <c r="C51" s="4" t="s">
        <v>13</v>
      </c>
      <c r="E51" s="4" t="s">
        <v>12</v>
      </c>
      <c r="F51" s="4" t="s">
        <v>13</v>
      </c>
      <c r="H51" s="4" t="s">
        <v>12</v>
      </c>
      <c r="I51" s="4" t="s">
        <v>13</v>
      </c>
      <c r="K51" s="4" t="s">
        <v>12</v>
      </c>
      <c r="L51" s="4" t="s">
        <v>13</v>
      </c>
    </row>
    <row r="52" spans="1:12" ht="25" x14ac:dyDescent="0.3">
      <c r="A52" s="13" t="s">
        <v>16</v>
      </c>
      <c r="B52" s="24"/>
      <c r="C52" s="25"/>
      <c r="E52" s="24"/>
      <c r="F52" s="25"/>
      <c r="H52" s="24"/>
      <c r="I52" s="25"/>
      <c r="K52" s="24"/>
      <c r="L52" s="25"/>
    </row>
    <row r="53" spans="1:12" ht="17" x14ac:dyDescent="0.2">
      <c r="A53" s="9" t="s">
        <v>21</v>
      </c>
      <c r="B53" s="4" t="s">
        <v>24</v>
      </c>
      <c r="C53" s="4" t="s">
        <v>47</v>
      </c>
      <c r="E53" s="4" t="s">
        <v>24</v>
      </c>
      <c r="F53" s="4" t="s">
        <v>48</v>
      </c>
      <c r="H53" s="4" t="s">
        <v>24</v>
      </c>
      <c r="I53" s="4" t="s">
        <v>49</v>
      </c>
      <c r="K53" s="4" t="s">
        <v>24</v>
      </c>
      <c r="L53" s="4" t="s">
        <v>50</v>
      </c>
    </row>
    <row r="54" spans="1:12" ht="17" x14ac:dyDescent="0.2">
      <c r="A54" s="9" t="s">
        <v>33</v>
      </c>
      <c r="B54" s="4" t="s">
        <v>12</v>
      </c>
      <c r="C54" s="4" t="s">
        <v>13</v>
      </c>
      <c r="E54" s="4" t="s">
        <v>12</v>
      </c>
      <c r="F54" s="4" t="s">
        <v>13</v>
      </c>
      <c r="H54" s="4" t="s">
        <v>12</v>
      </c>
      <c r="I54" s="4" t="s">
        <v>13</v>
      </c>
      <c r="K54" s="4" t="s">
        <v>12</v>
      </c>
      <c r="L54" s="4" t="s">
        <v>13</v>
      </c>
    </row>
    <row r="55" spans="1:12" ht="17" x14ac:dyDescent="0.2">
      <c r="A55" s="9" t="s">
        <v>6</v>
      </c>
      <c r="B55" s="4" t="s">
        <v>12</v>
      </c>
      <c r="C55" s="4" t="s">
        <v>13</v>
      </c>
      <c r="E55" s="4" t="s">
        <v>12</v>
      </c>
      <c r="F55" s="4" t="s">
        <v>13</v>
      </c>
      <c r="H55" s="4" t="s">
        <v>12</v>
      </c>
      <c r="I55" s="4" t="s">
        <v>13</v>
      </c>
      <c r="K55" s="4" t="s">
        <v>12</v>
      </c>
      <c r="L55" s="4" t="s">
        <v>13</v>
      </c>
    </row>
    <row r="56" spans="1:12" ht="17" x14ac:dyDescent="0.2">
      <c r="A56" s="9" t="s">
        <v>7</v>
      </c>
      <c r="B56" s="4" t="s">
        <v>12</v>
      </c>
      <c r="C56" s="4" t="s">
        <v>13</v>
      </c>
      <c r="E56" s="4" t="s">
        <v>12</v>
      </c>
      <c r="F56" s="4" t="s">
        <v>13</v>
      </c>
      <c r="H56" s="4" t="s">
        <v>12</v>
      </c>
      <c r="I56" s="4" t="s">
        <v>13</v>
      </c>
      <c r="K56" s="4" t="s">
        <v>12</v>
      </c>
      <c r="L56" s="4" t="s">
        <v>13</v>
      </c>
    </row>
    <row r="57" spans="1:12" ht="17" x14ac:dyDescent="0.2">
      <c r="A57" s="9" t="s">
        <v>9</v>
      </c>
      <c r="B57" s="4" t="s">
        <v>12</v>
      </c>
      <c r="C57" s="4" t="s">
        <v>13</v>
      </c>
      <c r="E57" s="4" t="s">
        <v>12</v>
      </c>
      <c r="F57" s="4" t="s">
        <v>13</v>
      </c>
      <c r="H57" s="4" t="s">
        <v>12</v>
      </c>
      <c r="I57" s="4" t="s">
        <v>13</v>
      </c>
      <c r="K57" s="4" t="s">
        <v>12</v>
      </c>
      <c r="L57" s="4" t="s">
        <v>13</v>
      </c>
    </row>
    <row r="58" spans="1:12" ht="17" x14ac:dyDescent="0.2">
      <c r="A58" s="9" t="s">
        <v>8</v>
      </c>
      <c r="B58" s="4" t="s">
        <v>12</v>
      </c>
      <c r="C58" s="4" t="s">
        <v>13</v>
      </c>
      <c r="E58" s="4" t="s">
        <v>12</v>
      </c>
      <c r="F58" s="4" t="s">
        <v>13</v>
      </c>
      <c r="H58" s="4" t="s">
        <v>12</v>
      </c>
      <c r="I58" s="4" t="s">
        <v>13</v>
      </c>
      <c r="K58" s="4" t="s">
        <v>12</v>
      </c>
      <c r="L58" s="4" t="s">
        <v>13</v>
      </c>
    </row>
    <row r="59" spans="1:12" ht="17" x14ac:dyDescent="0.2">
      <c r="A59" s="15" t="s">
        <v>32</v>
      </c>
      <c r="B59" s="4" t="s">
        <v>12</v>
      </c>
      <c r="C59" s="4" t="s">
        <v>13</v>
      </c>
      <c r="E59" s="4" t="s">
        <v>12</v>
      </c>
      <c r="F59" s="4" t="s">
        <v>13</v>
      </c>
      <c r="H59" s="4" t="s">
        <v>12</v>
      </c>
      <c r="I59" s="4" t="s">
        <v>13</v>
      </c>
      <c r="K59" s="4" t="s">
        <v>12</v>
      </c>
      <c r="L59" s="4" t="s">
        <v>13</v>
      </c>
    </row>
    <row r="60" spans="1:12" ht="17" x14ac:dyDescent="0.2">
      <c r="A60" s="7" t="s">
        <v>14</v>
      </c>
      <c r="B60" s="4" t="s">
        <v>12</v>
      </c>
      <c r="C60" s="4" t="s">
        <v>13</v>
      </c>
      <c r="E60" s="4" t="s">
        <v>12</v>
      </c>
      <c r="F60" s="4" t="s">
        <v>13</v>
      </c>
      <c r="H60" s="4" t="s">
        <v>12</v>
      </c>
      <c r="I60" s="4" t="s">
        <v>13</v>
      </c>
      <c r="K60" s="4" t="s">
        <v>12</v>
      </c>
      <c r="L60" s="4" t="s">
        <v>13</v>
      </c>
    </row>
    <row r="61" spans="1:12" ht="17" x14ac:dyDescent="0.2">
      <c r="A61" s="7" t="s">
        <v>31</v>
      </c>
      <c r="B61" s="4" t="s">
        <v>12</v>
      </c>
      <c r="C61" s="4" t="s">
        <v>13</v>
      </c>
      <c r="E61" s="4" t="s">
        <v>12</v>
      </c>
      <c r="F61" s="4" t="s">
        <v>13</v>
      </c>
      <c r="H61" s="4" t="s">
        <v>12</v>
      </c>
      <c r="I61" s="4" t="s">
        <v>13</v>
      </c>
      <c r="K61" s="4" t="s">
        <v>12</v>
      </c>
      <c r="L61" s="4" t="s">
        <v>13</v>
      </c>
    </row>
    <row r="62" spans="1:12" ht="17" x14ac:dyDescent="0.2">
      <c r="A62" s="10" t="s">
        <v>28</v>
      </c>
      <c r="B62" s="4" t="s">
        <v>12</v>
      </c>
      <c r="C62" s="4" t="s">
        <v>13</v>
      </c>
      <c r="E62" s="4" t="s">
        <v>12</v>
      </c>
      <c r="F62" s="4" t="s">
        <v>13</v>
      </c>
      <c r="H62" s="4" t="s">
        <v>12</v>
      </c>
      <c r="I62" s="4" t="s">
        <v>13</v>
      </c>
      <c r="K62" s="4" t="s">
        <v>12</v>
      </c>
      <c r="L62" s="4" t="s">
        <v>13</v>
      </c>
    </row>
    <row r="63" spans="1:12" ht="17" x14ac:dyDescent="0.2">
      <c r="A63" s="10" t="s">
        <v>35</v>
      </c>
      <c r="B63" s="4" t="s">
        <v>12</v>
      </c>
      <c r="C63" s="4" t="s">
        <v>13</v>
      </c>
      <c r="E63" s="4" t="s">
        <v>12</v>
      </c>
      <c r="F63" s="4" t="s">
        <v>13</v>
      </c>
      <c r="H63" s="4" t="s">
        <v>12</v>
      </c>
      <c r="I63" s="4" t="s">
        <v>13</v>
      </c>
      <c r="K63" s="4" t="s">
        <v>12</v>
      </c>
      <c r="L63" s="4" t="s">
        <v>13</v>
      </c>
    </row>
    <row r="64" spans="1:12" ht="17" x14ac:dyDescent="0.2">
      <c r="A64" s="11" t="s">
        <v>29</v>
      </c>
      <c r="B64" s="4" t="s">
        <v>12</v>
      </c>
      <c r="C64" s="4" t="s">
        <v>13</v>
      </c>
      <c r="E64" s="4" t="s">
        <v>12</v>
      </c>
      <c r="F64" s="4" t="s">
        <v>13</v>
      </c>
      <c r="H64" s="4" t="s">
        <v>12</v>
      </c>
      <c r="I64" s="4" t="s">
        <v>13</v>
      </c>
      <c r="K64" s="4" t="s">
        <v>12</v>
      </c>
      <c r="L64" s="4" t="s">
        <v>13</v>
      </c>
    </row>
    <row r="65" spans="1:12" ht="17" x14ac:dyDescent="0.2">
      <c r="A65" s="11" t="s">
        <v>36</v>
      </c>
      <c r="B65" s="4" t="s">
        <v>12</v>
      </c>
      <c r="C65" s="4" t="s">
        <v>13</v>
      </c>
      <c r="E65" s="4" t="s">
        <v>12</v>
      </c>
      <c r="F65" s="4" t="s">
        <v>13</v>
      </c>
      <c r="H65" s="4" t="s">
        <v>12</v>
      </c>
      <c r="I65" s="4" t="s">
        <v>13</v>
      </c>
      <c r="K65" s="4" t="s">
        <v>12</v>
      </c>
      <c r="L65" s="4" t="s">
        <v>13</v>
      </c>
    </row>
    <row r="66" spans="1:12" ht="17" x14ac:dyDescent="0.2">
      <c r="A66" s="12" t="s">
        <v>30</v>
      </c>
      <c r="B66" s="4" t="s">
        <v>12</v>
      </c>
      <c r="C66" s="4" t="s">
        <v>13</v>
      </c>
      <c r="E66" s="4" t="s">
        <v>12</v>
      </c>
      <c r="F66" s="4" t="s">
        <v>13</v>
      </c>
      <c r="H66" s="4" t="s">
        <v>12</v>
      </c>
      <c r="I66" s="4" t="s">
        <v>13</v>
      </c>
      <c r="K66" s="4" t="s">
        <v>12</v>
      </c>
      <c r="L66" s="4" t="s">
        <v>13</v>
      </c>
    </row>
    <row r="67" spans="1:12" ht="17" x14ac:dyDescent="0.2">
      <c r="A67" s="12" t="s">
        <v>37</v>
      </c>
      <c r="B67" s="4" t="s">
        <v>12</v>
      </c>
      <c r="C67" s="4" t="s">
        <v>13</v>
      </c>
      <c r="E67" s="4" t="s">
        <v>12</v>
      </c>
      <c r="F67" s="4" t="s">
        <v>13</v>
      </c>
      <c r="H67" s="4" t="s">
        <v>12</v>
      </c>
      <c r="I67" s="4" t="s">
        <v>13</v>
      </c>
      <c r="K67" s="4" t="s">
        <v>12</v>
      </c>
      <c r="L67" s="4" t="s">
        <v>13</v>
      </c>
    </row>
    <row r="68" spans="1:12" ht="25" x14ac:dyDescent="0.3">
      <c r="A68" s="13" t="s">
        <v>17</v>
      </c>
      <c r="B68" s="24"/>
      <c r="C68" s="25"/>
      <c r="E68" s="24"/>
      <c r="F68" s="25"/>
      <c r="H68" s="24"/>
      <c r="I68" s="25"/>
      <c r="K68" s="24"/>
      <c r="L68" s="25"/>
    </row>
    <row r="69" spans="1:12" ht="17" x14ac:dyDescent="0.2">
      <c r="A69" s="9" t="s">
        <v>21</v>
      </c>
      <c r="B69" s="4" t="s">
        <v>24</v>
      </c>
      <c r="C69" s="4" t="s">
        <v>47</v>
      </c>
      <c r="E69" s="4" t="s">
        <v>24</v>
      </c>
      <c r="F69" s="4" t="s">
        <v>48</v>
      </c>
      <c r="H69" s="4" t="s">
        <v>24</v>
      </c>
      <c r="I69" s="4" t="s">
        <v>49</v>
      </c>
      <c r="K69" s="4" t="s">
        <v>24</v>
      </c>
      <c r="L69" s="4" t="s">
        <v>50</v>
      </c>
    </row>
    <row r="70" spans="1:12" ht="17" x14ac:dyDescent="0.2">
      <c r="A70" s="9" t="s">
        <v>33</v>
      </c>
      <c r="B70" s="4" t="s">
        <v>12</v>
      </c>
      <c r="C70" s="4" t="s">
        <v>13</v>
      </c>
      <c r="E70" s="4" t="s">
        <v>12</v>
      </c>
      <c r="F70" s="4" t="s">
        <v>13</v>
      </c>
      <c r="H70" s="4" t="s">
        <v>12</v>
      </c>
      <c r="I70" s="4" t="s">
        <v>13</v>
      </c>
      <c r="K70" s="4" t="s">
        <v>12</v>
      </c>
      <c r="L70" s="4" t="s">
        <v>13</v>
      </c>
    </row>
    <row r="71" spans="1:12" ht="17" x14ac:dyDescent="0.2">
      <c r="A71" s="9" t="s">
        <v>6</v>
      </c>
      <c r="B71" s="4" t="s">
        <v>12</v>
      </c>
      <c r="C71" s="4" t="s">
        <v>13</v>
      </c>
      <c r="E71" s="4" t="s">
        <v>12</v>
      </c>
      <c r="F71" s="4" t="s">
        <v>13</v>
      </c>
      <c r="H71" s="4" t="s">
        <v>12</v>
      </c>
      <c r="I71" s="4" t="s">
        <v>13</v>
      </c>
      <c r="K71" s="4" t="s">
        <v>12</v>
      </c>
      <c r="L71" s="4" t="s">
        <v>13</v>
      </c>
    </row>
    <row r="72" spans="1:12" ht="17" x14ac:dyDescent="0.2">
      <c r="A72" s="9" t="s">
        <v>7</v>
      </c>
      <c r="B72" s="4" t="s">
        <v>12</v>
      </c>
      <c r="C72" s="4" t="s">
        <v>13</v>
      </c>
      <c r="E72" s="4" t="s">
        <v>12</v>
      </c>
      <c r="F72" s="4" t="s">
        <v>13</v>
      </c>
      <c r="H72" s="4" t="s">
        <v>12</v>
      </c>
      <c r="I72" s="4" t="s">
        <v>13</v>
      </c>
      <c r="K72" s="4" t="s">
        <v>12</v>
      </c>
      <c r="L72" s="4" t="s">
        <v>13</v>
      </c>
    </row>
    <row r="73" spans="1:12" ht="17" x14ac:dyDescent="0.2">
      <c r="A73" s="9" t="s">
        <v>9</v>
      </c>
      <c r="B73" s="4" t="s">
        <v>12</v>
      </c>
      <c r="C73" s="4" t="s">
        <v>13</v>
      </c>
      <c r="E73" s="4" t="s">
        <v>12</v>
      </c>
      <c r="F73" s="4" t="s">
        <v>13</v>
      </c>
      <c r="H73" s="4" t="s">
        <v>12</v>
      </c>
      <c r="I73" s="4" t="s">
        <v>13</v>
      </c>
      <c r="K73" s="4" t="s">
        <v>12</v>
      </c>
      <c r="L73" s="4" t="s">
        <v>13</v>
      </c>
    </row>
    <row r="74" spans="1:12" ht="17" x14ac:dyDescent="0.2">
      <c r="A74" s="9" t="s">
        <v>8</v>
      </c>
      <c r="B74" s="4" t="s">
        <v>12</v>
      </c>
      <c r="C74" s="4" t="s">
        <v>13</v>
      </c>
      <c r="E74" s="4" t="s">
        <v>12</v>
      </c>
      <c r="F74" s="4" t="s">
        <v>13</v>
      </c>
      <c r="H74" s="4" t="s">
        <v>12</v>
      </c>
      <c r="I74" s="4" t="s">
        <v>13</v>
      </c>
      <c r="K74" s="4" t="s">
        <v>12</v>
      </c>
      <c r="L74" s="4" t="s">
        <v>13</v>
      </c>
    </row>
    <row r="75" spans="1:12" ht="17" x14ac:dyDescent="0.2">
      <c r="A75" s="15" t="s">
        <v>32</v>
      </c>
      <c r="B75" s="4" t="s">
        <v>12</v>
      </c>
      <c r="C75" s="4" t="s">
        <v>13</v>
      </c>
      <c r="E75" s="4" t="s">
        <v>12</v>
      </c>
      <c r="F75" s="4" t="s">
        <v>13</v>
      </c>
      <c r="H75" s="4" t="s">
        <v>12</v>
      </c>
      <c r="I75" s="4" t="s">
        <v>13</v>
      </c>
      <c r="K75" s="4" t="s">
        <v>12</v>
      </c>
      <c r="L75" s="4" t="s">
        <v>13</v>
      </c>
    </row>
    <row r="76" spans="1:12" ht="17" x14ac:dyDescent="0.2">
      <c r="A76" s="7" t="s">
        <v>14</v>
      </c>
      <c r="B76" s="4" t="s">
        <v>12</v>
      </c>
      <c r="C76" s="4" t="s">
        <v>13</v>
      </c>
      <c r="E76" s="4" t="s">
        <v>12</v>
      </c>
      <c r="F76" s="4" t="s">
        <v>13</v>
      </c>
      <c r="H76" s="4" t="s">
        <v>12</v>
      </c>
      <c r="I76" s="4" t="s">
        <v>13</v>
      </c>
      <c r="K76" s="4" t="s">
        <v>12</v>
      </c>
      <c r="L76" s="4" t="s">
        <v>13</v>
      </c>
    </row>
    <row r="77" spans="1:12" ht="17" x14ac:dyDescent="0.2">
      <c r="A77" s="7" t="s">
        <v>31</v>
      </c>
      <c r="B77" s="4" t="s">
        <v>12</v>
      </c>
      <c r="C77" s="4" t="s">
        <v>13</v>
      </c>
      <c r="E77" s="4" t="s">
        <v>12</v>
      </c>
      <c r="F77" s="4" t="s">
        <v>13</v>
      </c>
      <c r="H77" s="4" t="s">
        <v>12</v>
      </c>
      <c r="I77" s="4" t="s">
        <v>13</v>
      </c>
      <c r="K77" s="4" t="s">
        <v>12</v>
      </c>
      <c r="L77" s="4" t="s">
        <v>13</v>
      </c>
    </row>
    <row r="78" spans="1:12" ht="17" x14ac:dyDescent="0.2">
      <c r="A78" s="10" t="s">
        <v>28</v>
      </c>
      <c r="B78" s="4" t="s">
        <v>12</v>
      </c>
      <c r="C78" s="4" t="s">
        <v>13</v>
      </c>
      <c r="E78" s="4" t="s">
        <v>12</v>
      </c>
      <c r="F78" s="4" t="s">
        <v>13</v>
      </c>
      <c r="H78" s="4" t="s">
        <v>12</v>
      </c>
      <c r="I78" s="4" t="s">
        <v>13</v>
      </c>
      <c r="K78" s="4" t="s">
        <v>12</v>
      </c>
      <c r="L78" s="4" t="s">
        <v>13</v>
      </c>
    </row>
    <row r="79" spans="1:12" ht="17" x14ac:dyDescent="0.2">
      <c r="A79" s="10" t="s">
        <v>35</v>
      </c>
      <c r="B79" s="4" t="s">
        <v>12</v>
      </c>
      <c r="C79" s="4" t="s">
        <v>13</v>
      </c>
      <c r="E79" s="4" t="s">
        <v>12</v>
      </c>
      <c r="F79" s="4" t="s">
        <v>13</v>
      </c>
      <c r="H79" s="4" t="s">
        <v>12</v>
      </c>
      <c r="I79" s="4" t="s">
        <v>13</v>
      </c>
      <c r="K79" s="4" t="s">
        <v>12</v>
      </c>
      <c r="L79" s="4" t="s">
        <v>13</v>
      </c>
    </row>
    <row r="80" spans="1:12" ht="17" x14ac:dyDescent="0.2">
      <c r="A80" s="11" t="s">
        <v>29</v>
      </c>
      <c r="B80" s="4" t="s">
        <v>12</v>
      </c>
      <c r="C80" s="4" t="s">
        <v>13</v>
      </c>
      <c r="E80" s="4" t="s">
        <v>12</v>
      </c>
      <c r="F80" s="4" t="s">
        <v>13</v>
      </c>
      <c r="H80" s="4" t="s">
        <v>12</v>
      </c>
      <c r="I80" s="4" t="s">
        <v>13</v>
      </c>
      <c r="K80" s="4" t="s">
        <v>12</v>
      </c>
      <c r="L80" s="4" t="s">
        <v>13</v>
      </c>
    </row>
    <row r="81" spans="1:12" ht="17" x14ac:dyDescent="0.2">
      <c r="A81" s="11" t="s">
        <v>36</v>
      </c>
      <c r="B81" s="4" t="s">
        <v>12</v>
      </c>
      <c r="C81" s="4" t="s">
        <v>13</v>
      </c>
      <c r="E81" s="4" t="s">
        <v>12</v>
      </c>
      <c r="F81" s="4" t="s">
        <v>13</v>
      </c>
      <c r="H81" s="4" t="s">
        <v>12</v>
      </c>
      <c r="I81" s="4" t="s">
        <v>13</v>
      </c>
      <c r="K81" s="4" t="s">
        <v>12</v>
      </c>
      <c r="L81" s="4" t="s">
        <v>13</v>
      </c>
    </row>
    <row r="82" spans="1:12" ht="17" x14ac:dyDescent="0.2">
      <c r="A82" s="12" t="s">
        <v>30</v>
      </c>
      <c r="B82" s="4" t="s">
        <v>12</v>
      </c>
      <c r="C82" s="4" t="s">
        <v>13</v>
      </c>
      <c r="E82" s="4" t="s">
        <v>12</v>
      </c>
      <c r="F82" s="4" t="s">
        <v>13</v>
      </c>
      <c r="H82" s="4" t="s">
        <v>12</v>
      </c>
      <c r="I82" s="4" t="s">
        <v>13</v>
      </c>
      <c r="K82" s="4" t="s">
        <v>12</v>
      </c>
      <c r="L82" s="4" t="s">
        <v>13</v>
      </c>
    </row>
    <row r="83" spans="1:12" ht="17" x14ac:dyDescent="0.2">
      <c r="A83" s="12" t="s">
        <v>37</v>
      </c>
      <c r="B83" s="4" t="s">
        <v>12</v>
      </c>
      <c r="C83" s="4" t="s">
        <v>13</v>
      </c>
      <c r="E83" s="4" t="s">
        <v>12</v>
      </c>
      <c r="F83" s="4" t="s">
        <v>13</v>
      </c>
      <c r="H83" s="4" t="s">
        <v>12</v>
      </c>
      <c r="I83" s="4" t="s">
        <v>13</v>
      </c>
      <c r="K83" s="4" t="s">
        <v>12</v>
      </c>
      <c r="L83" s="4" t="s">
        <v>13</v>
      </c>
    </row>
  </sheetData>
  <sortState xmlns:xlrd2="http://schemas.microsoft.com/office/spreadsheetml/2017/richdata2" ref="A14:I19">
    <sortCondition ref="A14:A19"/>
  </sortState>
  <mergeCells count="17">
    <mergeCell ref="K52:L52"/>
    <mergeCell ref="K68:L68"/>
    <mergeCell ref="A1:L1"/>
    <mergeCell ref="H2:I2"/>
    <mergeCell ref="H68:I68"/>
    <mergeCell ref="H36:I36"/>
    <mergeCell ref="H52:I52"/>
    <mergeCell ref="E2:F2"/>
    <mergeCell ref="E68:F68"/>
    <mergeCell ref="E36:F36"/>
    <mergeCell ref="E52:F52"/>
    <mergeCell ref="B2:C2"/>
    <mergeCell ref="B68:C68"/>
    <mergeCell ref="B36:C36"/>
    <mergeCell ref="B52:C52"/>
    <mergeCell ref="K2:L2"/>
    <mergeCell ref="K36:L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EB57-BD57-0E43-8DD8-F4A9B35C8319}">
  <dimension ref="A1:E136"/>
  <sheetViews>
    <sheetView tabSelected="1" topLeftCell="A46" zoomScale="129" zoomScaleNormal="129" workbookViewId="0">
      <selection activeCell="D54" sqref="D54"/>
    </sheetView>
  </sheetViews>
  <sheetFormatPr baseColWidth="10" defaultRowHeight="16" x14ac:dyDescent="0.2"/>
  <cols>
    <col min="1" max="1" width="45.83203125" style="2" customWidth="1"/>
    <col min="2" max="2" width="29.33203125" style="5" bestFit="1" customWidth="1"/>
    <col min="3" max="3" width="35" style="5" customWidth="1"/>
    <col min="4" max="4" width="50.5" style="5" bestFit="1" customWidth="1"/>
  </cols>
  <sheetData>
    <row r="1" spans="1:5" ht="33" customHeight="1" x14ac:dyDescent="0.4">
      <c r="A1" s="22" t="s">
        <v>22</v>
      </c>
      <c r="B1" s="23"/>
      <c r="C1" s="23"/>
      <c r="D1" s="23"/>
    </row>
    <row r="2" spans="1:5" ht="24" x14ac:dyDescent="0.3">
      <c r="A2" s="14"/>
      <c r="B2" s="6" t="s">
        <v>0</v>
      </c>
      <c r="C2" s="6" t="s">
        <v>1</v>
      </c>
      <c r="D2" s="6" t="s">
        <v>5</v>
      </c>
      <c r="E2" s="19" t="s">
        <v>51</v>
      </c>
    </row>
    <row r="3" spans="1:5" ht="25" x14ac:dyDescent="0.3">
      <c r="A3" s="14" t="s">
        <v>18</v>
      </c>
      <c r="B3" s="3"/>
      <c r="C3" s="3"/>
      <c r="D3" s="3"/>
    </row>
    <row r="4" spans="1:5" x14ac:dyDescent="0.2">
      <c r="A4" s="16" t="s">
        <v>4</v>
      </c>
      <c r="B4" s="3"/>
      <c r="C4" s="3"/>
      <c r="D4" s="3"/>
    </row>
    <row r="5" spans="1:5" ht="17" x14ac:dyDescent="0.2">
      <c r="A5" s="9" t="s">
        <v>41</v>
      </c>
      <c r="B5" s="21">
        <v>728</v>
      </c>
      <c r="C5" s="3"/>
      <c r="D5" s="3"/>
    </row>
    <row r="6" spans="1:5" ht="17" x14ac:dyDescent="0.2">
      <c r="A6" s="9" t="s">
        <v>39</v>
      </c>
      <c r="B6" s="21">
        <v>309</v>
      </c>
      <c r="C6" s="3"/>
      <c r="D6" s="3"/>
    </row>
    <row r="7" spans="1:5" ht="17" x14ac:dyDescent="0.2">
      <c r="A7" s="9" t="s">
        <v>40</v>
      </c>
      <c r="B7" s="21">
        <v>472</v>
      </c>
      <c r="C7" s="3"/>
      <c r="D7" s="3"/>
    </row>
    <row r="8" spans="1:5" ht="17" x14ac:dyDescent="0.2">
      <c r="A8" s="1" t="s">
        <v>20</v>
      </c>
      <c r="B8" s="3"/>
      <c r="C8" s="3"/>
      <c r="D8" s="3"/>
    </row>
    <row r="9" spans="1:5" ht="17" x14ac:dyDescent="0.2">
      <c r="A9" s="7" t="s">
        <v>14</v>
      </c>
      <c r="B9" s="4">
        <v>278</v>
      </c>
      <c r="C9" s="3"/>
      <c r="D9" s="3"/>
    </row>
    <row r="10" spans="1:5" ht="17" x14ac:dyDescent="0.2">
      <c r="A10" s="7" t="s">
        <v>31</v>
      </c>
      <c r="B10" s="4">
        <v>45</v>
      </c>
      <c r="C10" s="3"/>
      <c r="D10" s="3"/>
    </row>
    <row r="11" spans="1:5" ht="17" x14ac:dyDescent="0.2">
      <c r="A11" s="10" t="s">
        <v>28</v>
      </c>
      <c r="B11" s="4">
        <v>13</v>
      </c>
      <c r="C11" s="3"/>
      <c r="D11" s="3"/>
    </row>
    <row r="12" spans="1:5" ht="17" x14ac:dyDescent="0.2">
      <c r="A12" s="10" t="s">
        <v>35</v>
      </c>
      <c r="B12" s="4">
        <v>7</v>
      </c>
      <c r="C12" s="3"/>
      <c r="D12" s="3"/>
    </row>
    <row r="13" spans="1:5" ht="17" x14ac:dyDescent="0.2">
      <c r="A13" s="11" t="s">
        <v>29</v>
      </c>
      <c r="B13" s="21">
        <v>48</v>
      </c>
      <c r="C13" s="21" t="s">
        <v>69</v>
      </c>
      <c r="D13" s="3"/>
      <c r="E13" s="20" t="s">
        <v>52</v>
      </c>
    </row>
    <row r="14" spans="1:5" ht="17" x14ac:dyDescent="0.2">
      <c r="A14" s="11" t="s">
        <v>36</v>
      </c>
      <c r="B14" s="4">
        <v>39</v>
      </c>
      <c r="C14" s="3"/>
      <c r="D14" s="3"/>
      <c r="E14" s="20" t="s">
        <v>52</v>
      </c>
    </row>
    <row r="15" spans="1:5" ht="17" x14ac:dyDescent="0.2">
      <c r="A15" s="12" t="s">
        <v>30</v>
      </c>
      <c r="B15" s="4">
        <v>19</v>
      </c>
      <c r="C15" s="3"/>
      <c r="D15" s="3"/>
    </row>
    <row r="16" spans="1:5" ht="17" x14ac:dyDescent="0.2">
      <c r="A16" s="12" t="s">
        <v>37</v>
      </c>
      <c r="B16" s="4">
        <v>23</v>
      </c>
      <c r="C16" s="3"/>
      <c r="D16" s="3"/>
    </row>
    <row r="17" spans="1:4" ht="17" x14ac:dyDescent="0.2">
      <c r="A17" s="1" t="s">
        <v>10</v>
      </c>
      <c r="B17" s="3"/>
      <c r="C17" s="3"/>
      <c r="D17" s="3"/>
    </row>
    <row r="18" spans="1:4" ht="17" x14ac:dyDescent="0.2">
      <c r="A18" s="8" t="s">
        <v>42</v>
      </c>
      <c r="B18" s="4">
        <v>504</v>
      </c>
      <c r="C18" s="4">
        <f>B18/727*100</f>
        <v>69.325997248968363</v>
      </c>
      <c r="D18" s="3"/>
    </row>
    <row r="19" spans="1:4" ht="17" x14ac:dyDescent="0.2">
      <c r="A19" s="8" t="s">
        <v>11</v>
      </c>
      <c r="B19" s="4">
        <v>29</v>
      </c>
      <c r="C19" s="4">
        <f t="shared" ref="C19:C23" si="0">B19/727*100</f>
        <v>3.9889958734525441</v>
      </c>
      <c r="D19" s="3"/>
    </row>
    <row r="20" spans="1:4" ht="17" x14ac:dyDescent="0.2">
      <c r="A20" s="7" t="s">
        <v>14</v>
      </c>
      <c r="B20" s="4">
        <v>134</v>
      </c>
      <c r="C20" s="4">
        <f t="shared" si="0"/>
        <v>18.43191196698762</v>
      </c>
      <c r="D20" s="3"/>
    </row>
    <row r="21" spans="1:4" ht="17" x14ac:dyDescent="0.2">
      <c r="A21" s="10" t="s">
        <v>28</v>
      </c>
      <c r="B21" s="4">
        <v>10</v>
      </c>
      <c r="C21" s="4">
        <f t="shared" si="0"/>
        <v>1.3755158184319118</v>
      </c>
      <c r="D21" s="3"/>
    </row>
    <row r="22" spans="1:4" ht="17" x14ac:dyDescent="0.2">
      <c r="A22" s="11" t="s">
        <v>29</v>
      </c>
      <c r="B22" s="4">
        <v>35</v>
      </c>
      <c r="C22" s="4">
        <f t="shared" si="0"/>
        <v>4.814305364511692</v>
      </c>
      <c r="D22" s="3"/>
    </row>
    <row r="23" spans="1:4" ht="17" x14ac:dyDescent="0.2">
      <c r="A23" s="12" t="s">
        <v>30</v>
      </c>
      <c r="B23" s="4">
        <v>16</v>
      </c>
      <c r="C23" s="4">
        <f t="shared" si="0"/>
        <v>2.200825309491059</v>
      </c>
      <c r="D23" s="3"/>
    </row>
    <row r="24" spans="1:4" ht="17" x14ac:dyDescent="0.2">
      <c r="A24" s="1" t="s">
        <v>3</v>
      </c>
      <c r="B24" s="3"/>
      <c r="C24" s="3"/>
      <c r="D24" s="3"/>
    </row>
    <row r="25" spans="1:4" ht="17" x14ac:dyDescent="0.2">
      <c r="A25" s="7" t="s">
        <v>2</v>
      </c>
      <c r="B25" s="3"/>
      <c r="C25" s="3"/>
      <c r="D25" s="4" t="s">
        <v>60</v>
      </c>
    </row>
    <row r="26" spans="1:4" ht="17" x14ac:dyDescent="0.2">
      <c r="A26" s="10" t="s">
        <v>43</v>
      </c>
      <c r="B26" s="3"/>
      <c r="C26" s="3"/>
      <c r="D26" s="4" t="s">
        <v>61</v>
      </c>
    </row>
    <row r="27" spans="1:4" ht="17" x14ac:dyDescent="0.2">
      <c r="A27" s="11" t="s">
        <v>44</v>
      </c>
      <c r="B27" s="3"/>
      <c r="C27" s="3"/>
      <c r="D27" s="4" t="s">
        <v>62</v>
      </c>
    </row>
    <row r="28" spans="1:4" ht="17" x14ac:dyDescent="0.2">
      <c r="A28" s="12" t="s">
        <v>45</v>
      </c>
      <c r="B28" s="3"/>
      <c r="C28" s="3"/>
      <c r="D28" s="4" t="s">
        <v>53</v>
      </c>
    </row>
    <row r="29" spans="1:4" ht="7" customHeight="1" x14ac:dyDescent="0.3">
      <c r="A29" s="17"/>
      <c r="B29" s="18"/>
      <c r="C29" s="18"/>
      <c r="D29" s="18"/>
    </row>
    <row r="30" spans="1:4" ht="25" x14ac:dyDescent="0.3">
      <c r="A30" s="14" t="s">
        <v>15</v>
      </c>
      <c r="B30" s="3"/>
      <c r="C30" s="3"/>
      <c r="D30" s="3"/>
    </row>
    <row r="31" spans="1:4" x14ac:dyDescent="0.2">
      <c r="A31" s="16" t="s">
        <v>4</v>
      </c>
      <c r="B31" s="3"/>
      <c r="C31" s="3"/>
      <c r="D31" s="3"/>
    </row>
    <row r="32" spans="1:4" ht="17" x14ac:dyDescent="0.2">
      <c r="A32" s="9" t="s">
        <v>41</v>
      </c>
      <c r="B32" s="21">
        <v>312</v>
      </c>
      <c r="C32" s="3"/>
      <c r="D32" s="3"/>
    </row>
    <row r="33" spans="1:4" ht="17" x14ac:dyDescent="0.2">
      <c r="A33" s="9" t="s">
        <v>39</v>
      </c>
      <c r="B33" s="4">
        <v>159</v>
      </c>
      <c r="C33" s="3"/>
      <c r="D33" s="3"/>
    </row>
    <row r="34" spans="1:4" ht="17" x14ac:dyDescent="0.2">
      <c r="A34" s="9" t="s">
        <v>40</v>
      </c>
      <c r="B34" s="4">
        <v>201</v>
      </c>
      <c r="C34" s="3"/>
      <c r="D34" s="3"/>
    </row>
    <row r="35" spans="1:4" ht="17" x14ac:dyDescent="0.2">
      <c r="A35" s="1" t="s">
        <v>20</v>
      </c>
      <c r="B35" s="3"/>
      <c r="C35" s="3"/>
      <c r="D35" s="3"/>
    </row>
    <row r="36" spans="1:4" ht="17" x14ac:dyDescent="0.2">
      <c r="A36" s="7" t="s">
        <v>14</v>
      </c>
      <c r="B36" s="4">
        <v>126</v>
      </c>
      <c r="C36" s="3"/>
      <c r="D36" s="3"/>
    </row>
    <row r="37" spans="1:4" ht="17" x14ac:dyDescent="0.2">
      <c r="A37" s="7" t="s">
        <v>31</v>
      </c>
      <c r="B37" s="4">
        <v>28</v>
      </c>
      <c r="C37" s="3"/>
      <c r="D37" s="3"/>
    </row>
    <row r="38" spans="1:4" ht="17" x14ac:dyDescent="0.2">
      <c r="A38" s="10" t="s">
        <v>28</v>
      </c>
      <c r="B38" s="4">
        <v>6</v>
      </c>
      <c r="C38" s="3"/>
      <c r="D38" s="3"/>
    </row>
    <row r="39" spans="1:4" ht="17" x14ac:dyDescent="0.2">
      <c r="A39" s="10" t="s">
        <v>35</v>
      </c>
      <c r="B39" s="4">
        <v>4</v>
      </c>
      <c r="C39" s="3"/>
      <c r="D39" s="3"/>
    </row>
    <row r="40" spans="1:4" ht="17" x14ac:dyDescent="0.2">
      <c r="A40" s="11" t="s">
        <v>29</v>
      </c>
      <c r="B40" s="4">
        <v>11</v>
      </c>
      <c r="C40" s="3"/>
      <c r="D40" s="3"/>
    </row>
    <row r="41" spans="1:4" ht="17" x14ac:dyDescent="0.2">
      <c r="A41" s="11" t="s">
        <v>36</v>
      </c>
      <c r="B41" s="4">
        <v>14</v>
      </c>
      <c r="C41" s="3"/>
      <c r="D41" s="3"/>
    </row>
    <row r="42" spans="1:4" ht="17" x14ac:dyDescent="0.2">
      <c r="A42" s="12" t="s">
        <v>30</v>
      </c>
      <c r="B42" s="4">
        <v>9</v>
      </c>
      <c r="C42" s="3"/>
      <c r="D42" s="3"/>
    </row>
    <row r="43" spans="1:4" ht="17" x14ac:dyDescent="0.2">
      <c r="A43" s="12" t="s">
        <v>37</v>
      </c>
      <c r="B43" s="4">
        <v>3</v>
      </c>
      <c r="C43" s="3"/>
      <c r="D43" s="3"/>
    </row>
    <row r="44" spans="1:4" ht="17" x14ac:dyDescent="0.2">
      <c r="A44" s="1" t="s">
        <v>10</v>
      </c>
      <c r="B44" s="3"/>
      <c r="C44" s="3"/>
      <c r="D44" s="3"/>
    </row>
    <row r="45" spans="1:4" ht="17" x14ac:dyDescent="0.2">
      <c r="A45" s="8" t="s">
        <v>42</v>
      </c>
      <c r="B45" s="4">
        <v>215</v>
      </c>
      <c r="C45" s="4">
        <f>B45 / 311 * 100</f>
        <v>69.131832797427649</v>
      </c>
      <c r="D45" s="3"/>
    </row>
    <row r="46" spans="1:4" ht="17" x14ac:dyDescent="0.2">
      <c r="A46" s="8" t="s">
        <v>11</v>
      </c>
      <c r="B46" s="4">
        <v>20</v>
      </c>
      <c r="C46" s="4">
        <f t="shared" ref="C46:C50" si="1">B46 / 311 * 100</f>
        <v>6.430868167202572</v>
      </c>
      <c r="D46" s="3"/>
    </row>
    <row r="47" spans="1:4" ht="17" x14ac:dyDescent="0.2">
      <c r="A47" s="7" t="s">
        <v>14</v>
      </c>
      <c r="B47" s="4">
        <v>58</v>
      </c>
      <c r="C47" s="4">
        <f t="shared" si="1"/>
        <v>18.64951768488746</v>
      </c>
      <c r="D47" s="3"/>
    </row>
    <row r="48" spans="1:4" ht="17" x14ac:dyDescent="0.2">
      <c r="A48" s="10" t="s">
        <v>28</v>
      </c>
      <c r="B48" s="4">
        <v>5</v>
      </c>
      <c r="C48" s="4">
        <f t="shared" si="1"/>
        <v>1.607717041800643</v>
      </c>
      <c r="D48" s="3"/>
    </row>
    <row r="49" spans="1:4" ht="17" x14ac:dyDescent="0.2">
      <c r="A49" s="11" t="s">
        <v>29</v>
      </c>
      <c r="B49" s="4">
        <v>6</v>
      </c>
      <c r="C49" s="4">
        <f t="shared" si="1"/>
        <v>1.929260450160772</v>
      </c>
      <c r="D49" s="3"/>
    </row>
    <row r="50" spans="1:4" ht="17" x14ac:dyDescent="0.2">
      <c r="A50" s="12" t="s">
        <v>30</v>
      </c>
      <c r="B50" s="4">
        <v>8</v>
      </c>
      <c r="C50" s="4">
        <f t="shared" si="1"/>
        <v>2.572347266881029</v>
      </c>
      <c r="D50" s="3"/>
    </row>
    <row r="51" spans="1:4" ht="17" x14ac:dyDescent="0.2">
      <c r="A51" s="1" t="s">
        <v>3</v>
      </c>
      <c r="B51" s="3"/>
      <c r="C51" s="3"/>
      <c r="D51" s="3"/>
    </row>
    <row r="52" spans="1:4" ht="17" x14ac:dyDescent="0.2">
      <c r="A52" s="7" t="s">
        <v>2</v>
      </c>
      <c r="B52" s="3"/>
      <c r="C52" s="3"/>
      <c r="D52" s="4" t="s">
        <v>63</v>
      </c>
    </row>
    <row r="53" spans="1:4" ht="17" x14ac:dyDescent="0.2">
      <c r="A53" s="10" t="s">
        <v>43</v>
      </c>
      <c r="B53" s="3"/>
      <c r="C53" s="3"/>
      <c r="D53" s="4" t="s">
        <v>64</v>
      </c>
    </row>
    <row r="54" spans="1:4" ht="17" x14ac:dyDescent="0.2">
      <c r="A54" s="11" t="s">
        <v>44</v>
      </c>
      <c r="B54" s="3"/>
      <c r="C54" s="3"/>
      <c r="D54" s="4" t="s">
        <v>54</v>
      </c>
    </row>
    <row r="55" spans="1:4" ht="17" x14ac:dyDescent="0.2">
      <c r="A55" s="12" t="s">
        <v>45</v>
      </c>
      <c r="B55" s="3"/>
      <c r="C55" s="3"/>
      <c r="D55" s="4" t="s">
        <v>55</v>
      </c>
    </row>
    <row r="56" spans="1:4" ht="7" customHeight="1" x14ac:dyDescent="0.3">
      <c r="A56" s="17"/>
      <c r="B56" s="18"/>
      <c r="C56" s="18"/>
      <c r="D56" s="18"/>
    </row>
    <row r="57" spans="1:4" ht="25" x14ac:dyDescent="0.3">
      <c r="A57" s="14" t="s">
        <v>19</v>
      </c>
      <c r="B57" s="3"/>
      <c r="C57" s="3"/>
      <c r="D57" s="3"/>
    </row>
    <row r="58" spans="1:4" x14ac:dyDescent="0.2">
      <c r="A58" s="16" t="s">
        <v>4</v>
      </c>
      <c r="B58" s="3"/>
      <c r="C58" s="3"/>
      <c r="D58" s="3"/>
    </row>
    <row r="59" spans="1:4" ht="17" x14ac:dyDescent="0.2">
      <c r="A59" s="9" t="s">
        <v>41</v>
      </c>
      <c r="B59" s="4">
        <v>147</v>
      </c>
      <c r="C59" s="3"/>
      <c r="D59" s="3"/>
    </row>
    <row r="60" spans="1:4" ht="17" x14ac:dyDescent="0.2">
      <c r="A60" s="9" t="s">
        <v>39</v>
      </c>
      <c r="B60" s="4">
        <v>133</v>
      </c>
      <c r="C60" s="3"/>
      <c r="D60" s="3"/>
    </row>
    <row r="61" spans="1:4" ht="17" x14ac:dyDescent="0.2">
      <c r="A61" s="9" t="s">
        <v>40</v>
      </c>
      <c r="B61" s="4">
        <v>217</v>
      </c>
      <c r="C61" s="3"/>
      <c r="D61" s="3"/>
    </row>
    <row r="62" spans="1:4" ht="17" x14ac:dyDescent="0.2">
      <c r="A62" s="1" t="s">
        <v>20</v>
      </c>
      <c r="B62" s="3"/>
      <c r="C62" s="3"/>
      <c r="D62" s="3"/>
    </row>
    <row r="63" spans="1:4" ht="17" x14ac:dyDescent="0.2">
      <c r="A63" s="7" t="s">
        <v>14</v>
      </c>
      <c r="B63" s="4">
        <v>105</v>
      </c>
      <c r="C63" s="3"/>
      <c r="D63" s="3"/>
    </row>
    <row r="64" spans="1:4" ht="17" x14ac:dyDescent="0.2">
      <c r="A64" s="7" t="s">
        <v>31</v>
      </c>
      <c r="B64" s="4">
        <v>16</v>
      </c>
      <c r="C64" s="3"/>
      <c r="D64" s="3"/>
    </row>
    <row r="65" spans="1:4" ht="17" x14ac:dyDescent="0.2">
      <c r="A65" s="10" t="s">
        <v>28</v>
      </c>
      <c r="B65" s="4">
        <v>6</v>
      </c>
      <c r="C65" s="3"/>
      <c r="D65" s="3"/>
    </row>
    <row r="66" spans="1:4" ht="17" x14ac:dyDescent="0.2">
      <c r="A66" s="10" t="s">
        <v>35</v>
      </c>
      <c r="B66" s="4">
        <v>2</v>
      </c>
      <c r="C66" s="3"/>
      <c r="D66" s="3"/>
    </row>
    <row r="67" spans="1:4" ht="17" x14ac:dyDescent="0.2">
      <c r="A67" s="11" t="s">
        <v>29</v>
      </c>
      <c r="B67" s="21">
        <v>35</v>
      </c>
      <c r="C67" s="26"/>
      <c r="D67" s="3"/>
    </row>
    <row r="68" spans="1:4" ht="17" x14ac:dyDescent="0.2">
      <c r="A68" s="11" t="s">
        <v>36</v>
      </c>
      <c r="B68" s="4">
        <v>24</v>
      </c>
      <c r="C68" s="3"/>
      <c r="D68" s="3"/>
    </row>
    <row r="69" spans="1:4" ht="17" x14ac:dyDescent="0.2">
      <c r="A69" s="12" t="s">
        <v>30</v>
      </c>
      <c r="B69" s="4">
        <v>8</v>
      </c>
      <c r="C69" s="3"/>
      <c r="D69" s="3"/>
    </row>
    <row r="70" spans="1:4" ht="17" x14ac:dyDescent="0.2">
      <c r="A70" s="12" t="s">
        <v>37</v>
      </c>
      <c r="B70" s="4">
        <v>20</v>
      </c>
      <c r="C70" s="3"/>
      <c r="D70" s="3"/>
    </row>
    <row r="71" spans="1:4" ht="17" x14ac:dyDescent="0.2">
      <c r="A71" s="1" t="s">
        <v>10</v>
      </c>
      <c r="B71" s="3"/>
      <c r="C71" s="3"/>
      <c r="D71" s="3"/>
    </row>
    <row r="72" spans="1:4" ht="17" x14ac:dyDescent="0.2">
      <c r="A72" s="8" t="s">
        <v>42</v>
      </c>
      <c r="B72" s="4">
        <v>69</v>
      </c>
      <c r="C72" s="4">
        <f>B72/147*100</f>
        <v>46.938775510204081</v>
      </c>
      <c r="D72" s="3"/>
    </row>
    <row r="73" spans="1:4" ht="17" x14ac:dyDescent="0.2">
      <c r="A73" s="8" t="s">
        <v>11</v>
      </c>
      <c r="B73" s="4">
        <v>7</v>
      </c>
      <c r="C73" s="4">
        <f t="shared" ref="C73:C77" si="2">B73/147*100</f>
        <v>4.7619047619047619</v>
      </c>
      <c r="D73" s="3"/>
    </row>
    <row r="74" spans="1:4" ht="17" x14ac:dyDescent="0.2">
      <c r="A74" s="7" t="s">
        <v>14</v>
      </c>
      <c r="B74" s="4">
        <v>33</v>
      </c>
      <c r="C74" s="4">
        <f t="shared" si="2"/>
        <v>22.448979591836736</v>
      </c>
      <c r="D74" s="3"/>
    </row>
    <row r="75" spans="1:4" ht="17" x14ac:dyDescent="0.2">
      <c r="A75" s="10" t="s">
        <v>28</v>
      </c>
      <c r="B75" s="4">
        <v>4</v>
      </c>
      <c r="C75" s="4">
        <f t="shared" si="2"/>
        <v>2.7210884353741496</v>
      </c>
      <c r="D75" s="3"/>
    </row>
    <row r="76" spans="1:4" ht="17" x14ac:dyDescent="0.2">
      <c r="A76" s="11" t="s">
        <v>29</v>
      </c>
      <c r="B76" s="4">
        <v>28</v>
      </c>
      <c r="C76" s="4">
        <f t="shared" si="2"/>
        <v>19.047619047619047</v>
      </c>
      <c r="D76" s="3"/>
    </row>
    <row r="77" spans="1:4" ht="17" x14ac:dyDescent="0.2">
      <c r="A77" s="12" t="s">
        <v>30</v>
      </c>
      <c r="B77" s="4">
        <v>6</v>
      </c>
      <c r="C77" s="4">
        <f t="shared" si="2"/>
        <v>4.0816326530612246</v>
      </c>
      <c r="D77" s="3"/>
    </row>
    <row r="78" spans="1:4" ht="17" x14ac:dyDescent="0.2">
      <c r="A78" s="1" t="s">
        <v>3</v>
      </c>
      <c r="B78" s="3"/>
      <c r="C78" s="3"/>
      <c r="D78" s="3"/>
    </row>
    <row r="79" spans="1:4" ht="17" x14ac:dyDescent="0.2">
      <c r="A79" s="7" t="s">
        <v>2</v>
      </c>
      <c r="B79" s="3"/>
      <c r="C79" s="3"/>
      <c r="D79" s="4" t="s">
        <v>65</v>
      </c>
    </row>
    <row r="80" spans="1:4" ht="17" x14ac:dyDescent="0.2">
      <c r="A80" s="10" t="s">
        <v>43</v>
      </c>
      <c r="B80" s="3"/>
      <c r="C80" s="3"/>
      <c r="D80" s="4" t="s">
        <v>66</v>
      </c>
    </row>
    <row r="81" spans="1:4" ht="17" x14ac:dyDescent="0.2">
      <c r="A81" s="11" t="s">
        <v>44</v>
      </c>
      <c r="B81" s="3"/>
      <c r="C81" s="3"/>
      <c r="D81" s="4" t="s">
        <v>67</v>
      </c>
    </row>
    <row r="82" spans="1:4" ht="17" x14ac:dyDescent="0.2">
      <c r="A82" s="12" t="s">
        <v>45</v>
      </c>
      <c r="B82" s="3"/>
      <c r="C82" s="3"/>
      <c r="D82" s="4" t="s">
        <v>68</v>
      </c>
    </row>
    <row r="83" spans="1:4" ht="7" customHeight="1" x14ac:dyDescent="0.3">
      <c r="A83" s="17"/>
      <c r="B83" s="18"/>
      <c r="C83" s="18"/>
      <c r="D83" s="18"/>
    </row>
    <row r="84" spans="1:4" ht="25" x14ac:dyDescent="0.3">
      <c r="A84" s="14" t="s">
        <v>16</v>
      </c>
      <c r="B84" s="3"/>
      <c r="C84" s="3"/>
      <c r="D84" s="3"/>
    </row>
    <row r="85" spans="1:4" x14ac:dyDescent="0.2">
      <c r="A85" s="16" t="s">
        <v>4</v>
      </c>
      <c r="B85" s="3"/>
      <c r="C85" s="3"/>
      <c r="D85" s="3"/>
    </row>
    <row r="86" spans="1:4" ht="17" x14ac:dyDescent="0.2">
      <c r="A86" s="9" t="s">
        <v>41</v>
      </c>
      <c r="B86" s="4">
        <v>253</v>
      </c>
      <c r="C86" s="3"/>
      <c r="D86" s="3"/>
    </row>
    <row r="87" spans="1:4" ht="17" x14ac:dyDescent="0.2">
      <c r="A87" s="9" t="s">
        <v>39</v>
      </c>
      <c r="B87" s="4">
        <v>21</v>
      </c>
      <c r="C87" s="3"/>
      <c r="D87" s="3"/>
    </row>
    <row r="88" spans="1:4" ht="17" x14ac:dyDescent="0.2">
      <c r="A88" s="9" t="s">
        <v>40</v>
      </c>
      <c r="B88" s="4">
        <v>51</v>
      </c>
      <c r="C88" s="3"/>
      <c r="D88" s="3"/>
    </row>
    <row r="89" spans="1:4" ht="17" x14ac:dyDescent="0.2">
      <c r="A89" s="1" t="s">
        <v>20</v>
      </c>
      <c r="B89" s="3"/>
      <c r="C89" s="3"/>
      <c r="D89" s="3"/>
    </row>
    <row r="90" spans="1:4" ht="17" x14ac:dyDescent="0.2">
      <c r="A90" s="7" t="s">
        <v>14</v>
      </c>
      <c r="B90" s="4">
        <v>43</v>
      </c>
      <c r="C90" s="3"/>
      <c r="D90" s="3"/>
    </row>
    <row r="91" spans="1:4" ht="17" x14ac:dyDescent="0.2">
      <c r="A91" s="7" t="s">
        <v>31</v>
      </c>
      <c r="B91" s="4">
        <v>1</v>
      </c>
      <c r="C91" s="3"/>
      <c r="D91" s="3"/>
    </row>
    <row r="92" spans="1:4" ht="17" x14ac:dyDescent="0.2">
      <c r="A92" s="10" t="s">
        <v>28</v>
      </c>
      <c r="B92" s="4">
        <v>1</v>
      </c>
      <c r="C92" s="3"/>
      <c r="D92" s="3"/>
    </row>
    <row r="93" spans="1:4" ht="17" x14ac:dyDescent="0.2">
      <c r="A93" s="10" t="s">
        <v>35</v>
      </c>
      <c r="B93" s="4">
        <v>1</v>
      </c>
      <c r="C93" s="3"/>
      <c r="D93" s="3"/>
    </row>
    <row r="94" spans="1:4" ht="17" x14ac:dyDescent="0.2">
      <c r="A94" s="11" t="s">
        <v>29</v>
      </c>
      <c r="B94" s="4">
        <v>2</v>
      </c>
      <c r="C94" s="3"/>
      <c r="D94" s="3"/>
    </row>
    <row r="95" spans="1:4" ht="17" x14ac:dyDescent="0.2">
      <c r="A95" s="11" t="s">
        <v>36</v>
      </c>
      <c r="B95" s="4">
        <v>1</v>
      </c>
      <c r="C95" s="3"/>
      <c r="D95" s="3"/>
    </row>
    <row r="96" spans="1:4" ht="17" x14ac:dyDescent="0.2">
      <c r="A96" s="12" t="s">
        <v>30</v>
      </c>
      <c r="B96" s="4">
        <v>2</v>
      </c>
      <c r="C96" s="3"/>
      <c r="D96" s="3"/>
    </row>
    <row r="97" spans="1:4" ht="17" x14ac:dyDescent="0.2">
      <c r="A97" s="12" t="s">
        <v>37</v>
      </c>
      <c r="B97" s="4">
        <v>0</v>
      </c>
      <c r="C97" s="3"/>
      <c r="D97" s="3"/>
    </row>
    <row r="98" spans="1:4" ht="17" x14ac:dyDescent="0.2">
      <c r="A98" s="1" t="s">
        <v>10</v>
      </c>
      <c r="B98" s="3"/>
      <c r="C98" s="3"/>
      <c r="D98" s="3"/>
    </row>
    <row r="99" spans="1:4" ht="17" x14ac:dyDescent="0.2">
      <c r="A99" s="8" t="s">
        <v>42</v>
      </c>
      <c r="B99" s="4">
        <v>208</v>
      </c>
      <c r="C99" s="4">
        <f>B99/253 * 100</f>
        <v>82.213438735177874</v>
      </c>
      <c r="D99" s="3"/>
    </row>
    <row r="100" spans="1:4" ht="17" x14ac:dyDescent="0.2">
      <c r="A100" s="8" t="s">
        <v>11</v>
      </c>
      <c r="B100" s="4">
        <v>2</v>
      </c>
      <c r="C100" s="4">
        <f t="shared" ref="C100:C104" si="3">B100/253 * 100</f>
        <v>0.79051383399209485</v>
      </c>
      <c r="D100" s="3"/>
    </row>
    <row r="101" spans="1:4" ht="17" x14ac:dyDescent="0.2">
      <c r="A101" s="7" t="s">
        <v>14</v>
      </c>
      <c r="B101" s="4">
        <v>39</v>
      </c>
      <c r="C101" s="4">
        <f t="shared" si="3"/>
        <v>15.41501976284585</v>
      </c>
      <c r="D101" s="3"/>
    </row>
    <row r="102" spans="1:4" ht="17" x14ac:dyDescent="0.2">
      <c r="A102" s="10" t="s">
        <v>28</v>
      </c>
      <c r="B102" s="4">
        <v>1</v>
      </c>
      <c r="C102" s="4">
        <f t="shared" si="3"/>
        <v>0.39525691699604742</v>
      </c>
      <c r="D102" s="3"/>
    </row>
    <row r="103" spans="1:4" ht="17" x14ac:dyDescent="0.2">
      <c r="A103" s="11" t="s">
        <v>29</v>
      </c>
      <c r="B103" s="4">
        <v>1</v>
      </c>
      <c r="C103" s="4">
        <f t="shared" si="3"/>
        <v>0.39525691699604742</v>
      </c>
      <c r="D103" s="3"/>
    </row>
    <row r="104" spans="1:4" ht="17" x14ac:dyDescent="0.2">
      <c r="A104" s="12" t="s">
        <v>30</v>
      </c>
      <c r="B104" s="4">
        <v>2</v>
      </c>
      <c r="C104" s="4">
        <f t="shared" si="3"/>
        <v>0.79051383399209485</v>
      </c>
      <c r="D104" s="3"/>
    </row>
    <row r="105" spans="1:4" ht="17" x14ac:dyDescent="0.2">
      <c r="A105" s="1" t="s">
        <v>3</v>
      </c>
      <c r="B105" s="3"/>
      <c r="C105" s="3"/>
      <c r="D105" s="3"/>
    </row>
    <row r="106" spans="1:4" ht="17" x14ac:dyDescent="0.2">
      <c r="A106" s="7" t="s">
        <v>2</v>
      </c>
      <c r="B106" s="3"/>
      <c r="C106" s="3"/>
      <c r="D106" s="4" t="s">
        <v>56</v>
      </c>
    </row>
    <row r="107" spans="1:4" ht="17" x14ac:dyDescent="0.2">
      <c r="A107" s="10" t="s">
        <v>43</v>
      </c>
      <c r="B107" s="3"/>
      <c r="C107" s="3"/>
      <c r="D107" s="4" t="s">
        <v>57</v>
      </c>
    </row>
    <row r="108" spans="1:4" ht="17" x14ac:dyDescent="0.2">
      <c r="A108" s="11" t="s">
        <v>44</v>
      </c>
      <c r="B108" s="3"/>
      <c r="C108" s="3"/>
      <c r="D108" s="4" t="s">
        <v>57</v>
      </c>
    </row>
    <row r="109" spans="1:4" ht="17" x14ac:dyDescent="0.2">
      <c r="A109" s="12" t="s">
        <v>45</v>
      </c>
      <c r="B109" s="3"/>
      <c r="C109" s="3"/>
      <c r="D109" s="4" t="s">
        <v>58</v>
      </c>
    </row>
    <row r="110" spans="1:4" ht="7" customHeight="1" x14ac:dyDescent="0.3">
      <c r="A110" s="17"/>
      <c r="B110" s="18"/>
      <c r="C110" s="18"/>
      <c r="D110" s="18"/>
    </row>
    <row r="111" spans="1:4" ht="25" x14ac:dyDescent="0.3">
      <c r="A111" s="14" t="s">
        <v>17</v>
      </c>
      <c r="B111" s="3"/>
      <c r="C111" s="3"/>
      <c r="D111" s="3"/>
    </row>
    <row r="112" spans="1:4" x14ac:dyDescent="0.2">
      <c r="A112" s="16" t="s">
        <v>4</v>
      </c>
      <c r="B112" s="3"/>
      <c r="C112" s="3"/>
      <c r="D112" s="3"/>
    </row>
    <row r="113" spans="1:4" ht="17" x14ac:dyDescent="0.2">
      <c r="A113" s="9" t="s">
        <v>41</v>
      </c>
      <c r="B113" s="4">
        <v>16</v>
      </c>
      <c r="C113" s="3"/>
      <c r="D113" s="3"/>
    </row>
    <row r="114" spans="1:4" ht="17" x14ac:dyDescent="0.2">
      <c r="A114" s="9" t="s">
        <v>39</v>
      </c>
      <c r="B114" s="21">
        <v>2</v>
      </c>
      <c r="C114" s="3"/>
      <c r="D114" s="3"/>
    </row>
    <row r="115" spans="1:4" ht="17" x14ac:dyDescent="0.2">
      <c r="A115" s="9" t="s">
        <v>40</v>
      </c>
      <c r="B115" s="21">
        <v>4</v>
      </c>
      <c r="C115" s="3"/>
      <c r="D115" s="3"/>
    </row>
    <row r="116" spans="1:4" ht="17" x14ac:dyDescent="0.2">
      <c r="A116" s="1" t="s">
        <v>20</v>
      </c>
      <c r="B116" s="3"/>
      <c r="C116" s="3"/>
      <c r="D116" s="3"/>
    </row>
    <row r="117" spans="1:4" ht="17" x14ac:dyDescent="0.2">
      <c r="A117" s="7" t="s">
        <v>14</v>
      </c>
      <c r="B117" s="4">
        <v>4</v>
      </c>
      <c r="C117" s="3"/>
      <c r="D117" s="3"/>
    </row>
    <row r="118" spans="1:4" ht="17" x14ac:dyDescent="0.2">
      <c r="A118" s="7" t="s">
        <v>31</v>
      </c>
      <c r="B118" s="4">
        <v>0</v>
      </c>
      <c r="C118" s="3"/>
      <c r="D118" s="3"/>
    </row>
    <row r="119" spans="1:4" ht="17" x14ac:dyDescent="0.2">
      <c r="A119" s="10" t="s">
        <v>28</v>
      </c>
      <c r="B119" s="4">
        <v>0</v>
      </c>
      <c r="C119" s="3"/>
      <c r="D119" s="3"/>
    </row>
    <row r="120" spans="1:4" ht="17" x14ac:dyDescent="0.2">
      <c r="A120" s="10" t="s">
        <v>35</v>
      </c>
      <c r="B120" s="4">
        <v>0</v>
      </c>
      <c r="C120" s="3"/>
      <c r="D120" s="3"/>
    </row>
    <row r="121" spans="1:4" ht="17" x14ac:dyDescent="0.2">
      <c r="A121" s="11" t="s">
        <v>29</v>
      </c>
      <c r="B121" s="4">
        <v>0</v>
      </c>
      <c r="C121" s="3"/>
      <c r="D121" s="3"/>
    </row>
    <row r="122" spans="1:4" ht="17" x14ac:dyDescent="0.2">
      <c r="A122" s="11" t="s">
        <v>36</v>
      </c>
      <c r="B122" s="4">
        <v>0</v>
      </c>
      <c r="C122" s="3"/>
      <c r="D122" s="3"/>
    </row>
    <row r="123" spans="1:4" ht="17" x14ac:dyDescent="0.2">
      <c r="A123" s="12" t="s">
        <v>30</v>
      </c>
      <c r="B123" s="4">
        <v>0</v>
      </c>
      <c r="C123" s="3"/>
      <c r="D123" s="3"/>
    </row>
    <row r="124" spans="1:4" ht="17" x14ac:dyDescent="0.2">
      <c r="A124" s="12" t="s">
        <v>37</v>
      </c>
      <c r="B124" s="4">
        <v>0</v>
      </c>
      <c r="C124" s="3"/>
      <c r="D124" s="3"/>
    </row>
    <row r="125" spans="1:4" ht="17" x14ac:dyDescent="0.2">
      <c r="A125" s="1" t="s">
        <v>10</v>
      </c>
      <c r="B125" s="3"/>
      <c r="C125" s="3"/>
      <c r="D125" s="3"/>
    </row>
    <row r="126" spans="1:4" ht="17" x14ac:dyDescent="0.2">
      <c r="A126" s="8" t="s">
        <v>42</v>
      </c>
      <c r="B126" s="4">
        <v>12</v>
      </c>
      <c r="C126" s="4">
        <f>B126/16*100</f>
        <v>75</v>
      </c>
      <c r="D126" s="3"/>
    </row>
    <row r="127" spans="1:4" ht="17" x14ac:dyDescent="0.2">
      <c r="A127" s="8" t="s">
        <v>11</v>
      </c>
      <c r="B127" s="4">
        <v>0</v>
      </c>
      <c r="C127" s="4">
        <f t="shared" ref="C127:C131" si="4">B127/16*100</f>
        <v>0</v>
      </c>
      <c r="D127" s="3"/>
    </row>
    <row r="128" spans="1:4" ht="17" x14ac:dyDescent="0.2">
      <c r="A128" s="7" t="s">
        <v>14</v>
      </c>
      <c r="B128" s="4">
        <v>4</v>
      </c>
      <c r="C128" s="4">
        <f t="shared" si="4"/>
        <v>25</v>
      </c>
      <c r="D128" s="3"/>
    </row>
    <row r="129" spans="1:4" ht="17" x14ac:dyDescent="0.2">
      <c r="A129" s="10" t="s">
        <v>28</v>
      </c>
      <c r="B129" s="4">
        <v>0</v>
      </c>
      <c r="C129" s="4">
        <f t="shared" si="4"/>
        <v>0</v>
      </c>
      <c r="D129" s="3"/>
    </row>
    <row r="130" spans="1:4" ht="17" x14ac:dyDescent="0.2">
      <c r="A130" s="11" t="s">
        <v>29</v>
      </c>
      <c r="B130" s="4">
        <v>0</v>
      </c>
      <c r="C130" s="4">
        <f t="shared" si="4"/>
        <v>0</v>
      </c>
      <c r="D130" s="3"/>
    </row>
    <row r="131" spans="1:4" ht="17" x14ac:dyDescent="0.2">
      <c r="A131" s="12" t="s">
        <v>30</v>
      </c>
      <c r="B131" s="4">
        <v>0</v>
      </c>
      <c r="C131" s="4">
        <f t="shared" si="4"/>
        <v>0</v>
      </c>
      <c r="D131" s="3"/>
    </row>
    <row r="132" spans="1:4" ht="17" x14ac:dyDescent="0.2">
      <c r="A132" s="1" t="s">
        <v>3</v>
      </c>
      <c r="B132" s="3"/>
      <c r="C132" s="3"/>
      <c r="D132" s="3"/>
    </row>
    <row r="133" spans="1:4" ht="17" x14ac:dyDescent="0.2">
      <c r="A133" s="7" t="s">
        <v>2</v>
      </c>
      <c r="B133" s="3"/>
      <c r="C133" s="3"/>
      <c r="D133" s="4" t="s">
        <v>58</v>
      </c>
    </row>
    <row r="134" spans="1:4" ht="17" x14ac:dyDescent="0.2">
      <c r="A134" s="10" t="s">
        <v>43</v>
      </c>
      <c r="B134" s="3"/>
      <c r="C134" s="3"/>
      <c r="D134" s="4" t="s">
        <v>59</v>
      </c>
    </row>
    <row r="135" spans="1:4" ht="17" x14ac:dyDescent="0.2">
      <c r="A135" s="11" t="s">
        <v>44</v>
      </c>
      <c r="B135" s="3"/>
      <c r="C135" s="3"/>
      <c r="D135" s="4" t="s">
        <v>59</v>
      </c>
    </row>
    <row r="136" spans="1:4" ht="17" x14ac:dyDescent="0.2">
      <c r="A136" s="12" t="s">
        <v>45</v>
      </c>
      <c r="B136" s="3"/>
      <c r="C136" s="3"/>
      <c r="D136" s="4" t="s">
        <v>59</v>
      </c>
    </row>
  </sheetData>
  <mergeCells count="1">
    <mergeCell ref="A1:D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</vt:lpstr>
      <vt:lpstr>Systematic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Wallach</dc:creator>
  <cp:lastModifiedBy>Erick Lundgren</cp:lastModifiedBy>
  <dcterms:created xsi:type="dcterms:W3CDTF">2024-11-09T04:10:17Z</dcterms:created>
  <dcterms:modified xsi:type="dcterms:W3CDTF">2026-05-05T20:05:08Z</dcterms:modified>
</cp:coreProperties>
</file>